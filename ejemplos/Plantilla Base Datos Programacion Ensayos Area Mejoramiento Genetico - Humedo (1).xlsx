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icanaoff365-my.sharepoint.com/personal/biotec1_cenicanaoff365_onmicrosoft_com/Documents/Documents/06.Humedo/"/>
    </mc:Choice>
  </mc:AlternateContent>
  <xr:revisionPtr revIDLastSave="65" documentId="8_{BA7368AD-8A14-41D0-887A-114D76BE6C82}" xr6:coauthVersionLast="47" xr6:coauthVersionMax="47" xr10:uidLastSave="{B078EA11-82CC-407D-8201-B2384397D467}"/>
  <bookViews>
    <workbookView xWindow="-120" yWindow="-120" windowWidth="29040" windowHeight="15720" xr2:uid="{00000000-000D-0000-FFFF-FFFF00000000}"/>
  </bookViews>
  <sheets>
    <sheet name="Ensayo" sheetId="1" r:id="rId1"/>
  </sheets>
  <definedNames>
    <definedName name="_xlnm._FilterDatabase" localSheetId="0" hidden="1">Ensayo!$A$2:$AM$29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0" i="1" l="1"/>
  <c r="AB8" i="1"/>
  <c r="AB7" i="1"/>
  <c r="AB6" i="1"/>
  <c r="AB5" i="1"/>
  <c r="AB4" i="1"/>
  <c r="AB3" i="1"/>
  <c r="Y21" i="1"/>
  <c r="Y25" i="1"/>
  <c r="Y23" i="1"/>
  <c r="Y24" i="1"/>
  <c r="Y29" i="1"/>
  <c r="Y18" i="1"/>
  <c r="Y22" i="1"/>
  <c r="Y28" i="1" l="1"/>
  <c r="Y27" i="1"/>
  <c r="Y26" i="1"/>
  <c r="Y20" i="1"/>
  <c r="Y19" i="1"/>
  <c r="Y17" i="1"/>
  <c r="Y15" i="1" l="1"/>
  <c r="Y13" i="1"/>
  <c r="Y9" i="1"/>
  <c r="Y14" i="1"/>
  <c r="Y11" i="1"/>
  <c r="Y10" i="1"/>
  <c r="Y16" i="1"/>
  <c r="Y12" i="1"/>
  <c r="Y7" i="1" l="1"/>
  <c r="Y4" i="1"/>
  <c r="Y6" i="1"/>
</calcChain>
</file>

<file path=xl/sharedStrings.xml><?xml version="1.0" encoding="utf-8"?>
<sst xmlns="http://schemas.openxmlformats.org/spreadsheetml/2006/main" count="404" uniqueCount="188">
  <si>
    <t>FS</t>
  </si>
  <si>
    <t>FC</t>
  </si>
  <si>
    <t>Corte</t>
  </si>
  <si>
    <t>Ingenio</t>
  </si>
  <si>
    <t>Hacienda</t>
  </si>
  <si>
    <t>ZA</t>
  </si>
  <si>
    <t>Feval</t>
  </si>
  <si>
    <t>Nombre_Ensayo</t>
  </si>
  <si>
    <t>Nombre_Env</t>
  </si>
  <si>
    <t>Edad Actual</t>
  </si>
  <si>
    <t>MDS</t>
  </si>
  <si>
    <t>Comentario</t>
  </si>
  <si>
    <t>Serie</t>
  </si>
  <si>
    <t>Entradas</t>
  </si>
  <si>
    <t>Plots</t>
  </si>
  <si>
    <t>Diseño</t>
  </si>
  <si>
    <t>Amb_Seleccion</t>
  </si>
  <si>
    <t>NombreArchivo</t>
  </si>
  <si>
    <t>RMA</t>
  </si>
  <si>
    <t>CS</t>
  </si>
  <si>
    <t>Objetivo</t>
  </si>
  <si>
    <t>Año</t>
  </si>
  <si>
    <t>Proyecto</t>
  </si>
  <si>
    <t>AreaEnsayo</t>
  </si>
  <si>
    <t>Nsurcos/Plot</t>
  </si>
  <si>
    <t>LonSurco</t>
  </si>
  <si>
    <t>Checks</t>
  </si>
  <si>
    <t>NoClones</t>
  </si>
  <si>
    <t>Mes</t>
  </si>
  <si>
    <t>Nombre_Ensayo2</t>
  </si>
  <si>
    <t>ID</t>
  </si>
  <si>
    <t>FC-Programada</t>
  </si>
  <si>
    <t>Investigador</t>
  </si>
  <si>
    <t>Estado de selección y desarrollo en el proceso de selección de variedades</t>
  </si>
  <si>
    <t>Serie de selección, corresponde al año en que se realizo la selección de los clones</t>
  </si>
  <si>
    <t>Corresponde al ambiente de selección para el cual fue desarrollada y seleccionada la variedad</t>
  </si>
  <si>
    <t>Amb_Evaluación</t>
  </si>
  <si>
    <t>Corresponde al objetivo general que se busca con la ejecución del ensayo</t>
  </si>
  <si>
    <t>Nombre de la hacienda y debe ser la que aparece en la base de datos de GIS de Cenicaña</t>
  </si>
  <si>
    <t>Consociación de la suerte y debe la que aparece en la base de datos de GIS de Cenicaña</t>
  </si>
  <si>
    <t>Numero total de parcelas evaluadas en el ensayo</t>
  </si>
  <si>
    <t>DistEntreSurco</t>
  </si>
  <si>
    <t>Distancia del entre surco (m)</t>
  </si>
  <si>
    <t>Fecha de siembra del experimento DEBE seguir el formato cargado por defecto del PC</t>
  </si>
  <si>
    <t>Fecha de evaluación del experimento DEBE seguir el formato cargado por defecto del PC</t>
  </si>
  <si>
    <t>Fecha de cosecha Final del experimento DEBE seguir el formato cargado por defecto del PC</t>
  </si>
  <si>
    <t>Fecha de cosecha PROGRAMADA del experimento DEBE seguir el formato cargado por defecto del PC</t>
  </si>
  <si>
    <t>LonSurcoCallejon</t>
  </si>
  <si>
    <t>Investigador responsable del proyecto de investigación</t>
  </si>
  <si>
    <t>Suerte</t>
  </si>
  <si>
    <t>ID consecutivo de la base de datos, se creara automáticamente por el sistema</t>
  </si>
  <si>
    <t>Este nombre corresponde al código que de dará en SIVAR: Ingenio-Año-Hacienda-Suerte
El sistema lo genera automáticamente.</t>
  </si>
  <si>
    <t>Este nombre corresponde al código que de dará en SIVAR: Ingenio-Año-Hacienda-Suerte-Corte
El sistema lo genera automáticamente.</t>
  </si>
  <si>
    <t>Corresponde al nombre del proyecto que aparece en la base de evaluación de proyectos y en biblioteca digital</t>
  </si>
  <si>
    <t xml:space="preserve">Corresponde al ambiente de selección en el cual se están evaluado los clones </t>
  </si>
  <si>
    <t>Código de dos letras que representa al ingenio en el cual se esta evaluando el ensayo, debe ser igual al establecido por Cenicaña para la codificación de los ingenios</t>
  </si>
  <si>
    <t>Código de la suerte y debe ser el que aparece en la base de datos de GIS de Cenicaña</t>
  </si>
  <si>
    <t>Zona Agroecología de la suerte y debe la que aparece en la base de datos de GIS de Cenicaña</t>
  </si>
  <si>
    <t>Corte actual del ensayo, deber ser numérico: 1=plantilla, 2=Soca1, … etc.</t>
  </si>
  <si>
    <t>Numero de entradas (incluyendo testigos) que se están evaluando en el ensayo / vivero</t>
  </si>
  <si>
    <t>Numero de testigos que se están incluyendo en la evaluación del ensayo</t>
  </si>
  <si>
    <t>Numero de clones, entradas que se están evaluando. En el caso de los Estado I corresponde al numero de segregantes</t>
  </si>
  <si>
    <t>Diseño estadístico con el cual se planeo el experimento: UNREP, Bloques aumentados, Bloques incompletos, latices, etc.</t>
  </si>
  <si>
    <t>Numero de surcos por parcela (útiles) que se están evaluando</t>
  </si>
  <si>
    <t>Longitud del surco de la parcela útil (m)</t>
  </si>
  <si>
    <t>Longitud del surco del callejón (m)</t>
  </si>
  <si>
    <t>Área total del ensayo (ha). Esta se calculara a partir de Área=(V+W/2)*U*X*S</t>
  </si>
  <si>
    <t>Red meteorología de influencia al sitio en donde fue establecido el experimento (GIS)</t>
  </si>
  <si>
    <t>Meses después de la evaluación, será calculada como la diferencia entre las fechas de siembra y cosecha Final</t>
  </si>
  <si>
    <t>Estado actual del experimento, se calculara automáticamente</t>
  </si>
  <si>
    <t>Año de siembra, se calculara automáticamente a partir de la FS</t>
  </si>
  <si>
    <t>Mes de siembra, se calculara automáticamente a partir de la FS</t>
  </si>
  <si>
    <t>Comentarios adicionales / observaciones generales del experimento</t>
  </si>
  <si>
    <t>Corresponde a la ubicación física en donde esta la información (Esta será creada automáticamente por el sistema)</t>
  </si>
  <si>
    <t>Nombre del ensayo que se presentara en reportes técnico, será creado automáticamente por el sistema</t>
  </si>
  <si>
    <t>Estado de selección</t>
  </si>
  <si>
    <t>TipoCosecha</t>
  </si>
  <si>
    <t>Corresponde a la forma en que se hará la cosecha: Manual (verde / quemada) o mecanizada</t>
  </si>
  <si>
    <t>ESTADO I</t>
  </si>
  <si>
    <t>ESTADO II</t>
  </si>
  <si>
    <t>ESTADO III</t>
  </si>
  <si>
    <t>15-17-18</t>
  </si>
  <si>
    <t>2019-2020</t>
  </si>
  <si>
    <t>Humedo</t>
  </si>
  <si>
    <t>Obtención de variedades</t>
  </si>
  <si>
    <t>CA</t>
  </si>
  <si>
    <t>Egipto</t>
  </si>
  <si>
    <t>7H3</t>
  </si>
  <si>
    <t>RS</t>
  </si>
  <si>
    <t>5 A y B</t>
  </si>
  <si>
    <t>8H5</t>
  </si>
  <si>
    <t>7H2</t>
  </si>
  <si>
    <t>CCI</t>
  </si>
  <si>
    <t>zanjon oscuro</t>
  </si>
  <si>
    <t>0488-252</t>
  </si>
  <si>
    <t>10H4</t>
  </si>
  <si>
    <t>9H3</t>
  </si>
  <si>
    <t>SC</t>
  </si>
  <si>
    <t>La Yolanda</t>
  </si>
  <si>
    <t>6U</t>
  </si>
  <si>
    <t>5H2</t>
  </si>
  <si>
    <t>MY</t>
  </si>
  <si>
    <t>Acacias</t>
  </si>
  <si>
    <t>4A</t>
  </si>
  <si>
    <t>5H5</t>
  </si>
  <si>
    <t>Argelia</t>
  </si>
  <si>
    <t>416A</t>
  </si>
  <si>
    <t>ML</t>
  </si>
  <si>
    <t>Casa Blanca</t>
  </si>
  <si>
    <t>44B</t>
  </si>
  <si>
    <t>9H2 y 26H2</t>
  </si>
  <si>
    <t>MN</t>
  </si>
  <si>
    <t>El Canelo</t>
  </si>
  <si>
    <t>11H1</t>
  </si>
  <si>
    <t>RP</t>
  </si>
  <si>
    <t>Normandia</t>
  </si>
  <si>
    <t>5H3</t>
  </si>
  <si>
    <t>CCA</t>
  </si>
  <si>
    <t>Pampa Bengala</t>
  </si>
  <si>
    <t>18H1</t>
  </si>
  <si>
    <t>PR</t>
  </si>
  <si>
    <t>Piedechinche</t>
  </si>
  <si>
    <t>22H0</t>
  </si>
  <si>
    <t>Toluca</t>
  </si>
  <si>
    <t>16H4</t>
  </si>
  <si>
    <t>Bloques Aumentados y Alfa látice</t>
  </si>
  <si>
    <t>Alfa latice (15*3)</t>
  </si>
  <si>
    <t>Alfa latice (30*5)</t>
  </si>
  <si>
    <t>Obtención de variedades para la zona húmeda del valle del río Cauca</t>
  </si>
  <si>
    <t>Alfa latice (36*9)</t>
  </si>
  <si>
    <t>Alfa latice (10*3)</t>
  </si>
  <si>
    <t>F1 SEMILLERO PARA EII</t>
  </si>
  <si>
    <t>Semillero Estado II Seleccion Genomica</t>
  </si>
  <si>
    <t>Semillero Estado II</t>
  </si>
  <si>
    <t>Semillero Estado III</t>
  </si>
  <si>
    <t>Piedemonte</t>
  </si>
  <si>
    <t>La Esmeralda</t>
  </si>
  <si>
    <t>79A</t>
  </si>
  <si>
    <t>6H1</t>
  </si>
  <si>
    <t xml:space="preserve">Argelia </t>
  </si>
  <si>
    <t>CM</t>
  </si>
  <si>
    <t>Carmelita</t>
  </si>
  <si>
    <t>Florencia Orejuela</t>
  </si>
  <si>
    <t>1Z</t>
  </si>
  <si>
    <t>3H3</t>
  </si>
  <si>
    <t>Llano Grande</t>
  </si>
  <si>
    <t>1K</t>
  </si>
  <si>
    <t>9H2</t>
  </si>
  <si>
    <t>RPA</t>
  </si>
  <si>
    <t>16H5</t>
  </si>
  <si>
    <t>Tifton</t>
  </si>
  <si>
    <t>001Z</t>
  </si>
  <si>
    <t>8H3</t>
  </si>
  <si>
    <t>Castilla Industrial</t>
  </si>
  <si>
    <t>Sin diseño</t>
  </si>
  <si>
    <t>16-19-20</t>
  </si>
  <si>
    <t>16-19-20-21</t>
  </si>
  <si>
    <t>Guachinte</t>
  </si>
  <si>
    <t>Bocas del Palo</t>
  </si>
  <si>
    <t>El Tiple</t>
  </si>
  <si>
    <t>Cenicaña</t>
  </si>
  <si>
    <t>Riofrio</t>
  </si>
  <si>
    <t>Melendez</t>
  </si>
  <si>
    <t>Guacari</t>
  </si>
  <si>
    <t>El Naranjo</t>
  </si>
  <si>
    <t>GA y LM</t>
  </si>
  <si>
    <t>CB</t>
  </si>
  <si>
    <t>EZ</t>
  </si>
  <si>
    <t>EG</t>
  </si>
  <si>
    <t>-</t>
  </si>
  <si>
    <t>OR</t>
  </si>
  <si>
    <t>JN</t>
  </si>
  <si>
    <t>002125-84</t>
  </si>
  <si>
    <t>NA</t>
  </si>
  <si>
    <t>TF</t>
  </si>
  <si>
    <t>NJ,EG,KJ</t>
  </si>
  <si>
    <t>NK, KA</t>
  </si>
  <si>
    <t>NI</t>
  </si>
  <si>
    <t>CE-NM</t>
  </si>
  <si>
    <t>AMA</t>
  </si>
  <si>
    <t>PAI</t>
  </si>
  <si>
    <t>Santa lucia (El Rhin)</t>
  </si>
  <si>
    <t>VIR</t>
  </si>
  <si>
    <t>QM</t>
  </si>
  <si>
    <t>VIT</t>
  </si>
  <si>
    <t>TUL</t>
  </si>
  <si>
    <t>BU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</si>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</sst>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5" fillId="0" borderId="0">
      <alignment vertical="center"/>
    </xf>
  </cellStyleXfs>
  <cellXfs count="10">
    <xf numFmtId="0" fontId="0" fillId="0" borderId="0" xfId="0"/>
    <xf numFmtId="0" fontId="1" fillId="0" borderId="1" xfId="1" applyFont="1"/>
    <xf numFmtId="0" fontId="1" fillId="0" borderId="0" xfId="1" applyFont="1" applyFill="1" applyBorder="1"/>
    <xf numFmtId="0" fontId="1" fillId="0" borderId="1" xfId="1" quotePrefix="1" applyFont="1" applyAlignment="1">
      <alignment horizontal="left"/>
    </xf>
    <xf numFmtId="0" fontId="1" fillId="0" borderId="0" xfId="1" quotePrefix="1" applyFont="1" applyFill="1" applyBorder="1" applyAlignment="1">
      <alignment horizontal="left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/>
    </xf>
    <xf numFmtId="166" fontId="0" fillId="0" borderId="0" xfId="0" applyNumberFormat="1"/>
    <xf numFmtId="1" fontId="0" fillId="0" borderId="0" xfId="0" applyNumberFormat="1"/>
  </cellXfs>
  <cellStyles count="3">
    <cellStyle name="Celda vinculada" xfId="1" builtinId="24"/>
    <cellStyle name="Normal" xfId="0" builtinId="0"/>
    <cellStyle name="Normal 3" xfId="2" xr:uid="{A22090BB-4B07-4C9C-811C-828A235A504E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zoomScale="90" zoomScaleNormal="90" workbookViewId="0">
      <pane ySplit="2" topLeftCell="A3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12" customWidth="1"/>
    <col min="2" max="2" width="30.140625" bestFit="1" customWidth="1"/>
    <col min="3" max="3" width="29.85546875" bestFit="1" customWidth="1"/>
    <col min="4" max="4" width="67.140625" customWidth="1"/>
    <col min="5" max="5" width="27.28515625" bestFit="1" customWidth="1"/>
    <col min="6" max="6" width="12.7109375" customWidth="1"/>
    <col min="7" max="8" width="18" hidden="1" customWidth="1"/>
    <col min="9" max="9" width="24.5703125" bestFit="1" customWidth="1"/>
    <col min="10" max="10" width="20.7109375" customWidth="1"/>
    <col min="11" max="11" width="19.28515625" bestFit="1" customWidth="1"/>
    <col min="12" max="12" width="11.85546875" customWidth="1"/>
    <col min="13" max="13" width="10.5703125" customWidth="1"/>
    <col min="14" max="14" width="10.28515625" customWidth="1"/>
    <col min="15" max="15" width="9.42578125" customWidth="1"/>
    <col min="16" max="16" width="10.85546875" customWidth="1"/>
    <col min="17" max="17" width="10.140625" customWidth="1"/>
    <col min="18" max="18" width="15" customWidth="1"/>
    <col min="19" max="19" width="8.140625" customWidth="1"/>
    <col min="20" max="20" width="31" bestFit="1" customWidth="1"/>
    <col min="21" max="21" width="9.42578125" customWidth="1"/>
    <col min="22" max="24" width="7.140625" customWidth="1"/>
    <col min="25" max="25" width="11.28515625" customWidth="1"/>
    <col min="26" max="26" width="12.5703125" customWidth="1"/>
    <col min="27" max="29" width="14.42578125" customWidth="1"/>
    <col min="30" max="31" width="15.85546875" customWidth="1"/>
    <col min="32" max="32" width="11.140625" customWidth="1"/>
    <col min="33" max="33" width="12.5703125" customWidth="1"/>
    <col min="34" max="34" width="11.5703125" customWidth="1"/>
    <col min="35" max="35" width="16.42578125" bestFit="1" customWidth="1"/>
    <col min="36" max="36" width="28.140625" customWidth="1"/>
    <col min="37" max="37" width="83.42578125" customWidth="1"/>
    <col min="38" max="38" width="37.42578125" bestFit="1" customWidth="1"/>
    <col min="39" max="39" width="13.7109375" customWidth="1"/>
  </cols>
  <sheetData>
    <row r="1" spans="1:39" ht="95.25" customHeight="1" x14ac:dyDescent="0.25">
      <c r="A1" s="5" t="s">
        <v>50</v>
      </c>
      <c r="B1" s="5" t="s">
        <v>51</v>
      </c>
      <c r="C1" s="5" t="s">
        <v>52</v>
      </c>
      <c r="D1" s="6" t="s">
        <v>53</v>
      </c>
      <c r="E1" s="6" t="s">
        <v>33</v>
      </c>
      <c r="F1" s="6" t="s">
        <v>34</v>
      </c>
      <c r="G1" s="6" t="s">
        <v>35</v>
      </c>
      <c r="H1" s="5" t="s">
        <v>54</v>
      </c>
      <c r="I1" s="6" t="s">
        <v>37</v>
      </c>
      <c r="J1" s="5" t="s">
        <v>55</v>
      </c>
      <c r="K1" s="5" t="s">
        <v>38</v>
      </c>
      <c r="L1" s="5" t="s">
        <v>56</v>
      </c>
      <c r="M1" s="5" t="s">
        <v>57</v>
      </c>
      <c r="N1" s="5" t="s">
        <v>39</v>
      </c>
      <c r="O1" s="6" t="s">
        <v>58</v>
      </c>
      <c r="P1" s="6" t="s">
        <v>59</v>
      </c>
      <c r="Q1" s="6" t="s">
        <v>60</v>
      </c>
      <c r="R1" s="6" t="s">
        <v>61</v>
      </c>
      <c r="S1" s="6" t="s">
        <v>40</v>
      </c>
      <c r="T1" s="5" t="s">
        <v>62</v>
      </c>
      <c r="U1" s="6" t="s">
        <v>63</v>
      </c>
      <c r="V1" s="5" t="s">
        <v>64</v>
      </c>
      <c r="W1" s="5" t="s">
        <v>65</v>
      </c>
      <c r="X1" s="6" t="s">
        <v>42</v>
      </c>
      <c r="Y1" s="6" t="s">
        <v>66</v>
      </c>
      <c r="Z1" s="5" t="s">
        <v>67</v>
      </c>
      <c r="AA1" s="6" t="s">
        <v>43</v>
      </c>
      <c r="AB1" s="5" t="s">
        <v>45</v>
      </c>
      <c r="AC1" s="5" t="s">
        <v>44</v>
      </c>
      <c r="AD1" s="5" t="s">
        <v>68</v>
      </c>
      <c r="AE1" s="5" t="s">
        <v>46</v>
      </c>
      <c r="AF1" s="6" t="s">
        <v>69</v>
      </c>
      <c r="AG1" s="6" t="s">
        <v>70</v>
      </c>
      <c r="AH1" s="5" t="s">
        <v>71</v>
      </c>
      <c r="AI1" s="5" t="s">
        <v>77</v>
      </c>
      <c r="AJ1" s="6" t="s">
        <v>72</v>
      </c>
      <c r="AK1" s="6" t="s">
        <v>73</v>
      </c>
      <c r="AL1" s="6" t="s">
        <v>74</v>
      </c>
      <c r="AM1" s="6" t="s">
        <v>48</v>
      </c>
    </row>
    <row r="2" spans="1:39" ht="15.75" thickBot="1" x14ac:dyDescent="0.3">
      <c r="A2" s="1" t="s">
        <v>30</v>
      </c>
      <c r="B2" s="1" t="s">
        <v>7</v>
      </c>
      <c r="C2" s="1" t="s">
        <v>8</v>
      </c>
      <c r="D2" s="1" t="s">
        <v>22</v>
      </c>
      <c r="E2" s="3" t="s">
        <v>75</v>
      </c>
      <c r="F2" s="1" t="s">
        <v>12</v>
      </c>
      <c r="G2" s="1" t="s">
        <v>16</v>
      </c>
      <c r="H2" s="1" t="s">
        <v>36</v>
      </c>
      <c r="I2" s="1" t="s">
        <v>20</v>
      </c>
      <c r="J2" s="1" t="s">
        <v>3</v>
      </c>
      <c r="K2" s="1" t="s">
        <v>4</v>
      </c>
      <c r="L2" s="1" t="s">
        <v>49</v>
      </c>
      <c r="M2" s="1" t="s">
        <v>5</v>
      </c>
      <c r="N2" s="1" t="s">
        <v>19</v>
      </c>
      <c r="O2" s="1" t="s">
        <v>2</v>
      </c>
      <c r="P2" s="1" t="s">
        <v>13</v>
      </c>
      <c r="Q2" s="1" t="s">
        <v>26</v>
      </c>
      <c r="R2" s="3" t="s">
        <v>27</v>
      </c>
      <c r="S2" s="1" t="s">
        <v>14</v>
      </c>
      <c r="T2" s="1" t="s">
        <v>15</v>
      </c>
      <c r="U2" s="1" t="s">
        <v>24</v>
      </c>
      <c r="V2" s="1" t="s">
        <v>25</v>
      </c>
      <c r="W2" s="3" t="s">
        <v>47</v>
      </c>
      <c r="X2" s="1" t="s">
        <v>41</v>
      </c>
      <c r="Y2" s="1" t="s">
        <v>23</v>
      </c>
      <c r="Z2" s="1" t="s">
        <v>18</v>
      </c>
      <c r="AA2" s="1" t="s">
        <v>0</v>
      </c>
      <c r="AB2" s="1" t="s">
        <v>1</v>
      </c>
      <c r="AC2" s="1" t="s">
        <v>6</v>
      </c>
      <c r="AD2" s="1" t="s">
        <v>10</v>
      </c>
      <c r="AE2" s="1" t="s">
        <v>31</v>
      </c>
      <c r="AF2" s="1" t="s">
        <v>9</v>
      </c>
      <c r="AG2" s="1" t="s">
        <v>21</v>
      </c>
      <c r="AH2" s="1" t="s">
        <v>28</v>
      </c>
      <c r="AI2" s="1" t="s">
        <v>76</v>
      </c>
      <c r="AJ2" s="1" t="s">
        <v>11</v>
      </c>
      <c r="AK2" s="1" t="s">
        <v>17</v>
      </c>
      <c r="AL2" s="4" t="s">
        <v>29</v>
      </c>
      <c r="AM2" s="2" t="s">
        <v>32</v>
      </c>
    </row>
    <row r="3" spans="1:39" ht="15.75" thickTop="1" x14ac:dyDescent="0.25">
      <c r="D3" t="s">
        <v>128</v>
      </c>
      <c r="E3" t="s">
        <v>78</v>
      </c>
      <c r="F3" s="7">
        <v>2025</v>
      </c>
      <c r="G3" t="s">
        <v>83</v>
      </c>
      <c r="H3" t="s">
        <v>83</v>
      </c>
      <c r="I3" t="s">
        <v>84</v>
      </c>
      <c r="J3" t="s">
        <v>88</v>
      </c>
      <c r="K3" t="s">
        <v>181</v>
      </c>
      <c r="L3" t="s">
        <v>89</v>
      </c>
      <c r="M3" t="s">
        <v>90</v>
      </c>
      <c r="N3" t="s">
        <v>183</v>
      </c>
      <c r="O3">
        <v>3</v>
      </c>
      <c r="P3">
        <v>169</v>
      </c>
      <c r="Q3">
        <v>4</v>
      </c>
      <c r="R3">
        <v>6600</v>
      </c>
      <c r="S3">
        <v>378</v>
      </c>
      <c r="T3" t="s">
        <v>125</v>
      </c>
      <c r="U3">
        <v>5</v>
      </c>
      <c r="V3">
        <v>5</v>
      </c>
      <c r="W3">
        <v>4</v>
      </c>
      <c r="X3">
        <v>1.65</v>
      </c>
      <c r="Y3" s="8">
        <v>2.574195</v>
      </c>
      <c r="Z3" t="s">
        <v>182</v>
      </c>
      <c r="AA3">
        <v>45989</v>
      </c>
      <c r="AB3">
        <f ca="1">+TODAY()</f>
        <v>46062</v>
      </c>
    </row>
    <row r="4" spans="1:39" x14ac:dyDescent="0.25">
      <c r="D4" t="s">
        <v>128</v>
      </c>
      <c r="E4" t="s">
        <v>78</v>
      </c>
      <c r="F4" s="7">
        <v>2027</v>
      </c>
      <c r="G4" t="s">
        <v>83</v>
      </c>
      <c r="H4" t="s">
        <v>83</v>
      </c>
      <c r="I4" t="s">
        <v>84</v>
      </c>
      <c r="J4" t="s">
        <v>85</v>
      </c>
      <c r="K4" t="s">
        <v>86</v>
      </c>
      <c r="L4">
        <v>26</v>
      </c>
      <c r="M4" t="s">
        <v>87</v>
      </c>
      <c r="N4" t="s">
        <v>176</v>
      </c>
      <c r="O4">
        <v>1</v>
      </c>
      <c r="P4">
        <v>285</v>
      </c>
      <c r="Q4">
        <v>3</v>
      </c>
      <c r="R4">
        <v>84000</v>
      </c>
      <c r="S4">
        <v>633</v>
      </c>
      <c r="T4" t="s">
        <v>125</v>
      </c>
      <c r="U4">
        <v>6</v>
      </c>
      <c r="V4">
        <v>20</v>
      </c>
      <c r="W4">
        <v>3.5</v>
      </c>
      <c r="X4">
        <v>1.65</v>
      </c>
      <c r="Y4" s="8">
        <f>+U4*(V4+W4)*X4*S4/10000</f>
        <v>14.726744999999998</v>
      </c>
      <c r="Z4" t="s">
        <v>157</v>
      </c>
      <c r="AA4">
        <v>45980</v>
      </c>
      <c r="AB4">
        <f ca="1">+TODAY()</f>
        <v>46062</v>
      </c>
    </row>
    <row r="5" spans="1:39" x14ac:dyDescent="0.25">
      <c r="D5" t="s">
        <v>128</v>
      </c>
      <c r="E5" t="s">
        <v>79</v>
      </c>
      <c r="F5" s="7">
        <v>2022</v>
      </c>
      <c r="G5" t="s">
        <v>83</v>
      </c>
      <c r="H5" t="s">
        <v>83</v>
      </c>
      <c r="I5" t="s">
        <v>84</v>
      </c>
      <c r="J5" t="s">
        <v>85</v>
      </c>
      <c r="K5" t="s">
        <v>86</v>
      </c>
      <c r="L5">
        <v>33</v>
      </c>
      <c r="M5" t="s">
        <v>96</v>
      </c>
      <c r="N5" t="s">
        <v>177</v>
      </c>
      <c r="O5">
        <v>1</v>
      </c>
      <c r="P5">
        <v>50</v>
      </c>
      <c r="Q5">
        <v>5</v>
      </c>
      <c r="R5">
        <v>45</v>
      </c>
      <c r="S5">
        <v>150</v>
      </c>
      <c r="T5" t="s">
        <v>127</v>
      </c>
      <c r="U5">
        <v>5</v>
      </c>
      <c r="V5">
        <v>20</v>
      </c>
      <c r="W5">
        <v>3</v>
      </c>
      <c r="X5">
        <v>1.65</v>
      </c>
      <c r="Y5" s="8">
        <v>2.8</v>
      </c>
      <c r="Z5" t="s">
        <v>157</v>
      </c>
      <c r="AA5">
        <v>45877</v>
      </c>
      <c r="AB5">
        <f ca="1">+TODAY()</f>
        <v>46062</v>
      </c>
    </row>
    <row r="6" spans="1:39" x14ac:dyDescent="0.25">
      <c r="D6" t="s">
        <v>128</v>
      </c>
      <c r="E6" t="s">
        <v>79</v>
      </c>
      <c r="F6" s="7">
        <v>2023</v>
      </c>
      <c r="G6" t="s">
        <v>83</v>
      </c>
      <c r="H6" t="s">
        <v>83</v>
      </c>
      <c r="I6" t="s">
        <v>84</v>
      </c>
      <c r="J6" t="s">
        <v>97</v>
      </c>
      <c r="K6" t="s">
        <v>98</v>
      </c>
      <c r="L6" t="s">
        <v>99</v>
      </c>
      <c r="M6" t="s">
        <v>100</v>
      </c>
      <c r="N6" t="s">
        <v>186</v>
      </c>
      <c r="O6">
        <v>1</v>
      </c>
      <c r="P6">
        <v>101</v>
      </c>
      <c r="Q6">
        <v>95</v>
      </c>
      <c r="R6">
        <v>6</v>
      </c>
      <c r="S6">
        <v>324</v>
      </c>
      <c r="T6" t="s">
        <v>129</v>
      </c>
      <c r="U6">
        <v>6</v>
      </c>
      <c r="V6">
        <v>20</v>
      </c>
      <c r="W6">
        <v>3.5</v>
      </c>
      <c r="X6">
        <v>1.65</v>
      </c>
      <c r="Y6" s="8">
        <f>+U6*(V6+W6)*X6*S6/10000</f>
        <v>7.5378599999999993</v>
      </c>
      <c r="Z6" t="s">
        <v>185</v>
      </c>
      <c r="AA6">
        <v>45924</v>
      </c>
      <c r="AB6">
        <f ca="1">TODAY()</f>
        <v>46062</v>
      </c>
    </row>
    <row r="7" spans="1:39" x14ac:dyDescent="0.25">
      <c r="D7" t="s">
        <v>128</v>
      </c>
      <c r="E7" t="s">
        <v>79</v>
      </c>
      <c r="F7" s="7" t="s">
        <v>82</v>
      </c>
      <c r="G7" t="s">
        <v>83</v>
      </c>
      <c r="H7" t="s">
        <v>83</v>
      </c>
      <c r="I7" t="s">
        <v>84</v>
      </c>
      <c r="J7" t="s">
        <v>85</v>
      </c>
      <c r="K7" t="s">
        <v>86</v>
      </c>
      <c r="L7">
        <v>2</v>
      </c>
      <c r="M7" t="s">
        <v>91</v>
      </c>
      <c r="N7" t="s">
        <v>175</v>
      </c>
      <c r="O7">
        <v>1</v>
      </c>
      <c r="P7">
        <v>15</v>
      </c>
      <c r="Q7">
        <v>4</v>
      </c>
      <c r="R7">
        <v>11</v>
      </c>
      <c r="S7">
        <v>45</v>
      </c>
      <c r="T7" t="s">
        <v>126</v>
      </c>
      <c r="U7">
        <v>5</v>
      </c>
      <c r="V7">
        <v>20</v>
      </c>
      <c r="W7">
        <v>3</v>
      </c>
      <c r="X7">
        <v>1.65</v>
      </c>
      <c r="Y7" s="8">
        <f>+U7*(V7+W7)*X7*S7/10000</f>
        <v>0.85387500000000005</v>
      </c>
      <c r="Z7" t="s">
        <v>157</v>
      </c>
      <c r="AA7">
        <v>45721</v>
      </c>
      <c r="AB7">
        <f ca="1">TODAY()</f>
        <v>46062</v>
      </c>
    </row>
    <row r="8" spans="1:39" x14ac:dyDescent="0.25">
      <c r="D8" t="s">
        <v>128</v>
      </c>
      <c r="E8" t="s">
        <v>79</v>
      </c>
      <c r="F8" s="7" t="s">
        <v>82</v>
      </c>
      <c r="G8" t="s">
        <v>83</v>
      </c>
      <c r="H8" t="s">
        <v>83</v>
      </c>
      <c r="I8" t="s">
        <v>84</v>
      </c>
      <c r="J8" t="s">
        <v>92</v>
      </c>
      <c r="K8" t="s">
        <v>93</v>
      </c>
      <c r="L8" t="s">
        <v>94</v>
      </c>
      <c r="M8" t="s">
        <v>95</v>
      </c>
      <c r="N8" t="s">
        <v>171</v>
      </c>
      <c r="O8">
        <v>1</v>
      </c>
      <c r="P8">
        <v>15</v>
      </c>
      <c r="Q8">
        <v>5</v>
      </c>
      <c r="R8">
        <v>10</v>
      </c>
      <c r="S8">
        <v>45</v>
      </c>
      <c r="T8" t="s">
        <v>126</v>
      </c>
      <c r="U8">
        <v>3</v>
      </c>
      <c r="V8">
        <v>40</v>
      </c>
      <c r="W8">
        <v>3.5</v>
      </c>
      <c r="X8">
        <v>1.65</v>
      </c>
      <c r="Y8" s="8">
        <v>0.99</v>
      </c>
      <c r="Z8" t="s">
        <v>159</v>
      </c>
      <c r="AA8">
        <v>45979</v>
      </c>
      <c r="AB8">
        <f ca="1">TODAY()</f>
        <v>46062</v>
      </c>
    </row>
    <row r="9" spans="1:39" x14ac:dyDescent="0.25">
      <c r="D9" t="s">
        <v>128</v>
      </c>
      <c r="E9" t="s">
        <v>80</v>
      </c>
      <c r="F9" s="7" t="s">
        <v>81</v>
      </c>
      <c r="G9" t="s">
        <v>83</v>
      </c>
      <c r="H9" t="s">
        <v>83</v>
      </c>
      <c r="I9" t="s">
        <v>84</v>
      </c>
      <c r="J9" t="s">
        <v>117</v>
      </c>
      <c r="K9" t="s">
        <v>118</v>
      </c>
      <c r="L9">
        <v>84</v>
      </c>
      <c r="M9" t="s">
        <v>119</v>
      </c>
      <c r="N9" t="s">
        <v>173</v>
      </c>
      <c r="O9">
        <v>2</v>
      </c>
      <c r="P9">
        <v>10</v>
      </c>
      <c r="Q9">
        <v>4</v>
      </c>
      <c r="R9">
        <v>6</v>
      </c>
      <c r="S9">
        <v>30</v>
      </c>
      <c r="T9" t="s">
        <v>130</v>
      </c>
      <c r="U9">
        <v>5</v>
      </c>
      <c r="V9">
        <v>76</v>
      </c>
      <c r="W9">
        <v>4</v>
      </c>
      <c r="X9">
        <v>1.65</v>
      </c>
      <c r="Y9" s="8">
        <f>+U9*(V9+W9)*X9*S9/10000</f>
        <v>1.98</v>
      </c>
      <c r="Z9" t="s">
        <v>158</v>
      </c>
      <c r="AA9">
        <v>45829</v>
      </c>
      <c r="AB9">
        <v>46062</v>
      </c>
    </row>
    <row r="10" spans="1:39" x14ac:dyDescent="0.25">
      <c r="D10" t="s">
        <v>128</v>
      </c>
      <c r="E10" t="s">
        <v>80</v>
      </c>
      <c r="F10" s="7" t="s">
        <v>81</v>
      </c>
      <c r="G10" t="s">
        <v>83</v>
      </c>
      <c r="H10" t="s">
        <v>83</v>
      </c>
      <c r="I10" t="s">
        <v>84</v>
      </c>
      <c r="J10" t="s">
        <v>107</v>
      </c>
      <c r="K10" t="s">
        <v>108</v>
      </c>
      <c r="L10" t="s">
        <v>109</v>
      </c>
      <c r="M10" t="s">
        <v>110</v>
      </c>
      <c r="N10" t="s">
        <v>168</v>
      </c>
      <c r="O10">
        <v>2</v>
      </c>
      <c r="P10">
        <v>10</v>
      </c>
      <c r="Q10">
        <v>4</v>
      </c>
      <c r="R10">
        <v>6</v>
      </c>
      <c r="S10">
        <v>30</v>
      </c>
      <c r="T10" t="s">
        <v>130</v>
      </c>
      <c r="U10">
        <v>5</v>
      </c>
      <c r="V10">
        <v>55</v>
      </c>
      <c r="W10">
        <v>4</v>
      </c>
      <c r="X10">
        <v>1.65</v>
      </c>
      <c r="Y10" s="8">
        <f>+U10*(V10+W10)*X10*S10/10000</f>
        <v>1.46025</v>
      </c>
      <c r="Z10" t="s">
        <v>162</v>
      </c>
      <c r="AA10">
        <v>45847</v>
      </c>
      <c r="AB10">
        <f ca="1">TODAY()</f>
        <v>46062</v>
      </c>
    </row>
    <row r="11" spans="1:39" x14ac:dyDescent="0.25">
      <c r="D11" t="s">
        <v>128</v>
      </c>
      <c r="E11" t="s">
        <v>80</v>
      </c>
      <c r="F11" s="7" t="s">
        <v>81</v>
      </c>
      <c r="G11" t="s">
        <v>83</v>
      </c>
      <c r="H11" t="s">
        <v>83</v>
      </c>
      <c r="I11" t="s">
        <v>84</v>
      </c>
      <c r="J11" t="s">
        <v>111</v>
      </c>
      <c r="K11" t="s">
        <v>112</v>
      </c>
      <c r="L11">
        <v>4</v>
      </c>
      <c r="M11" t="s">
        <v>113</v>
      </c>
      <c r="N11" t="s">
        <v>167</v>
      </c>
      <c r="O11">
        <v>2</v>
      </c>
      <c r="P11">
        <v>10</v>
      </c>
      <c r="Q11">
        <v>4</v>
      </c>
      <c r="R11">
        <v>6</v>
      </c>
      <c r="S11">
        <v>30</v>
      </c>
      <c r="T11" t="s">
        <v>130</v>
      </c>
      <c r="U11">
        <v>5</v>
      </c>
      <c r="V11">
        <v>120</v>
      </c>
      <c r="W11">
        <v>0</v>
      </c>
      <c r="X11">
        <v>1.65</v>
      </c>
      <c r="Y11" s="8">
        <f>+U11*(V11+W11)*X11*S11/10000</f>
        <v>2.97</v>
      </c>
      <c r="Z11" t="s">
        <v>163</v>
      </c>
      <c r="AA11">
        <v>45883</v>
      </c>
      <c r="AB11">
        <v>46062</v>
      </c>
    </row>
    <row r="12" spans="1:39" x14ac:dyDescent="0.25">
      <c r="D12" t="s">
        <v>128</v>
      </c>
      <c r="E12" t="s">
        <v>80</v>
      </c>
      <c r="F12" s="7" t="s">
        <v>81</v>
      </c>
      <c r="G12" t="s">
        <v>83</v>
      </c>
      <c r="H12" t="s">
        <v>83</v>
      </c>
      <c r="I12" t="s">
        <v>84</v>
      </c>
      <c r="J12" t="s">
        <v>101</v>
      </c>
      <c r="K12" t="s">
        <v>102</v>
      </c>
      <c r="L12" t="s">
        <v>103</v>
      </c>
      <c r="M12" t="s">
        <v>104</v>
      </c>
      <c r="N12" t="s">
        <v>166</v>
      </c>
      <c r="O12">
        <v>2</v>
      </c>
      <c r="P12">
        <v>10</v>
      </c>
      <c r="Q12">
        <v>4</v>
      </c>
      <c r="R12">
        <v>6</v>
      </c>
      <c r="S12">
        <v>30</v>
      </c>
      <c r="T12" t="s">
        <v>130</v>
      </c>
      <c r="U12">
        <v>5</v>
      </c>
      <c r="V12">
        <v>30</v>
      </c>
      <c r="W12">
        <v>4</v>
      </c>
      <c r="X12">
        <v>1.65</v>
      </c>
      <c r="Y12" s="8">
        <f>+U12*(V12+W12)*X12*S12/10000</f>
        <v>0.84150000000000003</v>
      </c>
      <c r="Z12" t="s">
        <v>158</v>
      </c>
      <c r="AA12">
        <v>45916</v>
      </c>
      <c r="AB12">
        <v>46062</v>
      </c>
    </row>
    <row r="13" spans="1:39" x14ac:dyDescent="0.25">
      <c r="D13" t="s">
        <v>128</v>
      </c>
      <c r="E13" t="s">
        <v>80</v>
      </c>
      <c r="F13" s="7" t="s">
        <v>81</v>
      </c>
      <c r="G13" t="s">
        <v>83</v>
      </c>
      <c r="H13" t="s">
        <v>135</v>
      </c>
      <c r="I13" t="s">
        <v>84</v>
      </c>
      <c r="J13" t="s">
        <v>120</v>
      </c>
      <c r="K13" t="s">
        <v>121</v>
      </c>
      <c r="L13">
        <v>38</v>
      </c>
      <c r="M13" t="s">
        <v>122</v>
      </c>
      <c r="N13" t="s">
        <v>178</v>
      </c>
      <c r="O13">
        <v>2</v>
      </c>
      <c r="P13">
        <v>10</v>
      </c>
      <c r="Q13">
        <v>4</v>
      </c>
      <c r="R13">
        <v>6</v>
      </c>
      <c r="S13">
        <v>30</v>
      </c>
      <c r="T13" t="s">
        <v>130</v>
      </c>
      <c r="U13">
        <v>5</v>
      </c>
      <c r="V13">
        <v>100</v>
      </c>
      <c r="W13">
        <v>0</v>
      </c>
      <c r="X13">
        <v>1.65</v>
      </c>
      <c r="Y13" s="8">
        <f>+U13*(V13+W13)*X13*S13/10000</f>
        <v>2.4750000000000001</v>
      </c>
      <c r="Z13" t="s">
        <v>179</v>
      </c>
      <c r="AA13">
        <v>45990</v>
      </c>
      <c r="AB13">
        <v>46062</v>
      </c>
    </row>
    <row r="14" spans="1:39" x14ac:dyDescent="0.25">
      <c r="D14" t="s">
        <v>128</v>
      </c>
      <c r="E14" t="s">
        <v>80</v>
      </c>
      <c r="F14" s="7" t="s">
        <v>81</v>
      </c>
      <c r="G14" t="s">
        <v>83</v>
      </c>
      <c r="H14" t="s">
        <v>83</v>
      </c>
      <c r="I14" t="s">
        <v>84</v>
      </c>
      <c r="J14" t="s">
        <v>114</v>
      </c>
      <c r="K14" t="s">
        <v>115</v>
      </c>
      <c r="L14">
        <v>250</v>
      </c>
      <c r="M14" t="s">
        <v>116</v>
      </c>
      <c r="N14" t="s">
        <v>85</v>
      </c>
      <c r="O14">
        <v>2</v>
      </c>
      <c r="P14">
        <v>10</v>
      </c>
      <c r="Q14">
        <v>4</v>
      </c>
      <c r="R14">
        <v>6</v>
      </c>
      <c r="S14">
        <v>30</v>
      </c>
      <c r="T14" t="s">
        <v>130</v>
      </c>
      <c r="U14">
        <v>5</v>
      </c>
      <c r="V14">
        <v>100</v>
      </c>
      <c r="W14">
        <v>0</v>
      </c>
      <c r="X14">
        <v>1.65</v>
      </c>
      <c r="Y14" s="8">
        <f>+U14*(V14+W14)*X14*S14/10000</f>
        <v>2.4750000000000001</v>
      </c>
      <c r="Z14" t="s">
        <v>180</v>
      </c>
      <c r="AA14">
        <v>45854</v>
      </c>
      <c r="AB14">
        <v>46062</v>
      </c>
    </row>
    <row r="15" spans="1:39" x14ac:dyDescent="0.25">
      <c r="D15" t="s">
        <v>128</v>
      </c>
      <c r="E15" t="s">
        <v>80</v>
      </c>
      <c r="F15" s="7" t="s">
        <v>81</v>
      </c>
      <c r="G15" t="s">
        <v>83</v>
      </c>
      <c r="H15" t="s">
        <v>83</v>
      </c>
      <c r="I15" t="s">
        <v>84</v>
      </c>
      <c r="J15" t="s">
        <v>88</v>
      </c>
      <c r="K15" t="s">
        <v>123</v>
      </c>
      <c r="L15">
        <v>1</v>
      </c>
      <c r="M15" t="s">
        <v>124</v>
      </c>
      <c r="N15" t="s">
        <v>88</v>
      </c>
      <c r="O15">
        <v>2</v>
      </c>
      <c r="P15">
        <v>10</v>
      </c>
      <c r="Q15">
        <v>4</v>
      </c>
      <c r="R15">
        <v>6</v>
      </c>
      <c r="S15">
        <v>30</v>
      </c>
      <c r="T15" t="s">
        <v>130</v>
      </c>
      <c r="U15">
        <v>5</v>
      </c>
      <c r="V15">
        <v>100</v>
      </c>
      <c r="W15">
        <v>0</v>
      </c>
      <c r="X15">
        <v>1.65</v>
      </c>
      <c r="Y15" s="8">
        <f>+U15*(V15+W15)*X15*S15/10000</f>
        <v>2.4750000000000001</v>
      </c>
      <c r="Z15" t="s">
        <v>184</v>
      </c>
      <c r="AA15">
        <v>45771</v>
      </c>
      <c r="AB15">
        <v>46062</v>
      </c>
    </row>
    <row r="16" spans="1:39" x14ac:dyDescent="0.25">
      <c r="D16" t="s">
        <v>128</v>
      </c>
      <c r="E16" t="s">
        <v>80</v>
      </c>
      <c r="F16" s="7" t="s">
        <v>81</v>
      </c>
      <c r="G16" t="s">
        <v>83</v>
      </c>
      <c r="H16" t="s">
        <v>83</v>
      </c>
      <c r="I16" t="s">
        <v>84</v>
      </c>
      <c r="J16" t="s">
        <v>97</v>
      </c>
      <c r="K16" t="s">
        <v>105</v>
      </c>
      <c r="L16" t="s">
        <v>106</v>
      </c>
      <c r="M16" t="s">
        <v>100</v>
      </c>
      <c r="N16" t="s">
        <v>186</v>
      </c>
      <c r="O16">
        <v>2</v>
      </c>
      <c r="P16">
        <v>10</v>
      </c>
      <c r="Q16">
        <v>4</v>
      </c>
      <c r="R16">
        <v>6</v>
      </c>
      <c r="S16">
        <v>30</v>
      </c>
      <c r="T16" t="s">
        <v>130</v>
      </c>
      <c r="U16">
        <v>5</v>
      </c>
      <c r="V16">
        <v>114</v>
      </c>
      <c r="W16">
        <v>0</v>
      </c>
      <c r="X16">
        <v>1.65</v>
      </c>
      <c r="Y16" s="8">
        <f>+U16*(V16+W16)*X16*S16/10000</f>
        <v>2.8214999999999999</v>
      </c>
      <c r="Z16" t="s">
        <v>187</v>
      </c>
      <c r="AA16">
        <v>45772</v>
      </c>
      <c r="AB16">
        <v>46062</v>
      </c>
    </row>
    <row r="17" spans="4:28" x14ac:dyDescent="0.25">
      <c r="D17" t="s">
        <v>128</v>
      </c>
      <c r="E17" t="s">
        <v>131</v>
      </c>
      <c r="F17">
        <v>2024</v>
      </c>
      <c r="G17" t="s">
        <v>83</v>
      </c>
      <c r="H17" t="s">
        <v>83</v>
      </c>
      <c r="I17" t="s">
        <v>84</v>
      </c>
      <c r="J17" t="s">
        <v>97</v>
      </c>
      <c r="K17" t="s">
        <v>136</v>
      </c>
      <c r="L17" t="s">
        <v>137</v>
      </c>
      <c r="M17" t="s">
        <v>138</v>
      </c>
      <c r="N17" t="s">
        <v>169</v>
      </c>
      <c r="O17">
        <v>2</v>
      </c>
      <c r="P17">
        <v>360</v>
      </c>
      <c r="Q17">
        <v>4</v>
      </c>
      <c r="R17">
        <v>356</v>
      </c>
      <c r="S17">
        <v>370</v>
      </c>
      <c r="T17" t="s">
        <v>154</v>
      </c>
      <c r="U17">
        <v>1</v>
      </c>
      <c r="V17">
        <v>10</v>
      </c>
      <c r="W17">
        <v>4</v>
      </c>
      <c r="X17">
        <v>1.65</v>
      </c>
      <c r="Y17" s="8">
        <f>+U17*(V17+W17)*X17*S17/10000</f>
        <v>0.85470000000000002</v>
      </c>
      <c r="Z17" t="s">
        <v>185</v>
      </c>
      <c r="AA17">
        <v>45994</v>
      </c>
      <c r="AB17">
        <v>46062</v>
      </c>
    </row>
    <row r="18" spans="4:28" x14ac:dyDescent="0.25">
      <c r="D18" t="s">
        <v>128</v>
      </c>
      <c r="E18" t="s">
        <v>133</v>
      </c>
      <c r="F18">
        <v>2022</v>
      </c>
      <c r="G18" t="s">
        <v>83</v>
      </c>
      <c r="H18" t="s">
        <v>83</v>
      </c>
      <c r="I18" t="s">
        <v>84</v>
      </c>
      <c r="J18" t="s">
        <v>85</v>
      </c>
      <c r="K18" t="s">
        <v>142</v>
      </c>
      <c r="L18" t="s">
        <v>143</v>
      </c>
      <c r="M18" t="s">
        <v>144</v>
      </c>
      <c r="N18" t="s">
        <v>114</v>
      </c>
      <c r="O18">
        <v>2</v>
      </c>
      <c r="P18">
        <v>83</v>
      </c>
      <c r="Q18">
        <v>4</v>
      </c>
      <c r="R18">
        <v>79</v>
      </c>
      <c r="S18">
        <v>85</v>
      </c>
      <c r="T18" t="s">
        <v>154</v>
      </c>
      <c r="U18">
        <v>3</v>
      </c>
      <c r="V18">
        <v>27</v>
      </c>
      <c r="W18">
        <v>4</v>
      </c>
      <c r="X18">
        <v>1.65</v>
      </c>
      <c r="Y18" s="8">
        <f>+U18*(V18+W18)*X18*S18/10000</f>
        <v>1.3043249999999997</v>
      </c>
      <c r="Z18" t="s">
        <v>157</v>
      </c>
      <c r="AA18">
        <v>45919</v>
      </c>
      <c r="AB18">
        <v>46062</v>
      </c>
    </row>
    <row r="19" spans="4:28" x14ac:dyDescent="0.25">
      <c r="D19" t="s">
        <v>128</v>
      </c>
      <c r="E19" t="s">
        <v>132</v>
      </c>
      <c r="F19">
        <v>2025</v>
      </c>
      <c r="G19" t="s">
        <v>83</v>
      </c>
      <c r="H19" t="s">
        <v>83</v>
      </c>
      <c r="I19" t="s">
        <v>84</v>
      </c>
      <c r="J19" t="s">
        <v>85</v>
      </c>
      <c r="K19" t="s">
        <v>86</v>
      </c>
      <c r="L19">
        <v>33</v>
      </c>
      <c r="M19" t="s">
        <v>96</v>
      </c>
      <c r="N19" t="s">
        <v>177</v>
      </c>
      <c r="O19">
        <v>1</v>
      </c>
      <c r="P19">
        <v>134</v>
      </c>
      <c r="Q19">
        <v>0</v>
      </c>
      <c r="R19">
        <v>134</v>
      </c>
      <c r="S19">
        <v>134</v>
      </c>
      <c r="T19" t="s">
        <v>154</v>
      </c>
      <c r="U19">
        <v>1</v>
      </c>
      <c r="V19">
        <v>20</v>
      </c>
      <c r="W19">
        <v>4</v>
      </c>
      <c r="X19">
        <v>1.65</v>
      </c>
      <c r="Y19" s="8">
        <f>+U19*(V19+W19)*X19*S19/10000</f>
        <v>0.53064</v>
      </c>
      <c r="Z19" t="s">
        <v>157</v>
      </c>
      <c r="AA19">
        <v>45877</v>
      </c>
      <c r="AB19">
        <v>46062</v>
      </c>
    </row>
    <row r="20" spans="4:28" x14ac:dyDescent="0.25">
      <c r="D20" t="s">
        <v>128</v>
      </c>
      <c r="E20" t="s">
        <v>132</v>
      </c>
      <c r="F20">
        <v>2025</v>
      </c>
      <c r="G20" t="s">
        <v>83</v>
      </c>
      <c r="H20" t="s">
        <v>83</v>
      </c>
      <c r="I20" t="s">
        <v>84</v>
      </c>
      <c r="J20" t="s">
        <v>97</v>
      </c>
      <c r="K20" t="s">
        <v>98</v>
      </c>
      <c r="L20" t="s">
        <v>99</v>
      </c>
      <c r="M20" t="s">
        <v>100</v>
      </c>
      <c r="N20" t="s">
        <v>186</v>
      </c>
      <c r="O20">
        <v>1</v>
      </c>
      <c r="P20">
        <v>249</v>
      </c>
      <c r="Q20">
        <v>4</v>
      </c>
      <c r="R20">
        <v>245</v>
      </c>
      <c r="S20">
        <v>274</v>
      </c>
      <c r="T20" t="s">
        <v>154</v>
      </c>
      <c r="U20">
        <v>1</v>
      </c>
      <c r="V20">
        <v>20</v>
      </c>
      <c r="W20">
        <v>3</v>
      </c>
      <c r="X20">
        <v>1.65</v>
      </c>
      <c r="Y20" s="8">
        <f>+U20*(V20+W20)*X20*S20/10000</f>
        <v>1.03983</v>
      </c>
      <c r="Z20" t="s">
        <v>185</v>
      </c>
      <c r="AA20">
        <v>45922</v>
      </c>
      <c r="AB20">
        <v>46062</v>
      </c>
    </row>
    <row r="21" spans="4:28" x14ac:dyDescent="0.25">
      <c r="D21" t="s">
        <v>128</v>
      </c>
      <c r="E21" t="s">
        <v>134</v>
      </c>
      <c r="F21">
        <v>2016</v>
      </c>
      <c r="G21" t="s">
        <v>83</v>
      </c>
      <c r="H21" t="s">
        <v>83</v>
      </c>
      <c r="I21" t="s">
        <v>84</v>
      </c>
      <c r="J21" t="s">
        <v>85</v>
      </c>
      <c r="K21" t="s">
        <v>150</v>
      </c>
      <c r="L21" t="s">
        <v>151</v>
      </c>
      <c r="M21" t="s">
        <v>152</v>
      </c>
      <c r="N21" t="s">
        <v>174</v>
      </c>
      <c r="O21">
        <v>1</v>
      </c>
      <c r="P21">
        <v>26</v>
      </c>
      <c r="Q21">
        <v>5</v>
      </c>
      <c r="R21">
        <v>21</v>
      </c>
      <c r="S21">
        <v>26</v>
      </c>
      <c r="T21" t="s">
        <v>154</v>
      </c>
      <c r="U21">
        <v>2</v>
      </c>
      <c r="V21">
        <v>20</v>
      </c>
      <c r="W21">
        <v>4</v>
      </c>
      <c r="X21">
        <v>1.65</v>
      </c>
      <c r="Y21" s="8">
        <f>+U21*(V21+W21)*X21*S21/10000</f>
        <v>0.20591999999999999</v>
      </c>
      <c r="Z21" t="s">
        <v>157</v>
      </c>
      <c r="AA21" s="9">
        <v>45992</v>
      </c>
      <c r="AB21">
        <v>46062</v>
      </c>
    </row>
    <row r="22" spans="4:28" x14ac:dyDescent="0.25">
      <c r="D22" t="s">
        <v>128</v>
      </c>
      <c r="E22" t="s">
        <v>134</v>
      </c>
      <c r="F22">
        <v>2016</v>
      </c>
      <c r="G22" t="s">
        <v>83</v>
      </c>
      <c r="H22" t="s">
        <v>83</v>
      </c>
      <c r="I22" t="s">
        <v>84</v>
      </c>
      <c r="J22" t="s">
        <v>92</v>
      </c>
      <c r="K22" t="s">
        <v>153</v>
      </c>
      <c r="L22">
        <v>52</v>
      </c>
      <c r="M22" t="s">
        <v>113</v>
      </c>
      <c r="N22" t="s">
        <v>170</v>
      </c>
      <c r="O22">
        <v>1</v>
      </c>
      <c r="P22">
        <v>11</v>
      </c>
      <c r="Q22">
        <v>3</v>
      </c>
      <c r="R22">
        <v>8</v>
      </c>
      <c r="S22">
        <v>12</v>
      </c>
      <c r="T22" t="s">
        <v>154</v>
      </c>
      <c r="U22">
        <v>3</v>
      </c>
      <c r="V22">
        <v>20</v>
      </c>
      <c r="W22">
        <v>3</v>
      </c>
      <c r="X22">
        <v>1.65</v>
      </c>
      <c r="Y22" s="8">
        <f>+U22*(V22+W22)*X22*S22/10000</f>
        <v>0.13661999999999999</v>
      </c>
      <c r="Z22" t="s">
        <v>160</v>
      </c>
      <c r="AA22">
        <v>45979</v>
      </c>
      <c r="AB22">
        <v>46062</v>
      </c>
    </row>
    <row r="23" spans="4:28" x14ac:dyDescent="0.25">
      <c r="D23" t="s">
        <v>128</v>
      </c>
      <c r="E23" t="s">
        <v>134</v>
      </c>
      <c r="F23" t="s">
        <v>155</v>
      </c>
      <c r="G23" t="s">
        <v>83</v>
      </c>
      <c r="H23" t="s">
        <v>83</v>
      </c>
      <c r="I23" t="s">
        <v>84</v>
      </c>
      <c r="J23" t="s">
        <v>117</v>
      </c>
      <c r="K23" t="s">
        <v>118</v>
      </c>
      <c r="L23" t="s">
        <v>172</v>
      </c>
      <c r="M23" t="s">
        <v>119</v>
      </c>
      <c r="N23" t="s">
        <v>173</v>
      </c>
      <c r="O23">
        <v>2</v>
      </c>
      <c r="P23">
        <v>26</v>
      </c>
      <c r="Q23">
        <v>5</v>
      </c>
      <c r="R23">
        <v>21</v>
      </c>
      <c r="S23">
        <v>26</v>
      </c>
      <c r="T23" t="s">
        <v>154</v>
      </c>
      <c r="U23">
        <v>2</v>
      </c>
      <c r="V23">
        <v>18</v>
      </c>
      <c r="W23">
        <v>4</v>
      </c>
      <c r="X23">
        <v>1.65</v>
      </c>
      <c r="Y23" s="8">
        <f>+U23*(V23+W23)*X23*S23/10000</f>
        <v>0.18875999999999998</v>
      </c>
      <c r="Z23" t="s">
        <v>158</v>
      </c>
      <c r="AA23">
        <v>45829</v>
      </c>
      <c r="AB23">
        <v>46062</v>
      </c>
    </row>
    <row r="24" spans="4:28" x14ac:dyDescent="0.25">
      <c r="D24" t="s">
        <v>128</v>
      </c>
      <c r="E24" t="s">
        <v>134</v>
      </c>
      <c r="F24" t="s">
        <v>155</v>
      </c>
      <c r="G24" t="s">
        <v>83</v>
      </c>
      <c r="H24" t="s">
        <v>83</v>
      </c>
      <c r="I24" t="s">
        <v>84</v>
      </c>
      <c r="J24" t="s">
        <v>148</v>
      </c>
      <c r="K24" t="s">
        <v>115</v>
      </c>
      <c r="L24">
        <v>250</v>
      </c>
      <c r="M24" t="s">
        <v>116</v>
      </c>
      <c r="N24" t="s">
        <v>85</v>
      </c>
      <c r="O24">
        <v>2</v>
      </c>
      <c r="P24">
        <v>21</v>
      </c>
      <c r="Q24">
        <v>4</v>
      </c>
      <c r="R24">
        <v>17</v>
      </c>
      <c r="S24">
        <v>21</v>
      </c>
      <c r="T24" t="s">
        <v>154</v>
      </c>
      <c r="U24">
        <v>2</v>
      </c>
      <c r="V24">
        <v>18</v>
      </c>
      <c r="W24">
        <v>4</v>
      </c>
      <c r="X24">
        <v>1.65</v>
      </c>
      <c r="Y24" s="8">
        <f>+U24*(V24+W24)*X24*S24/10000</f>
        <v>0.15245999999999998</v>
      </c>
      <c r="Z24" t="s">
        <v>180</v>
      </c>
      <c r="AA24">
        <v>45854</v>
      </c>
      <c r="AB24">
        <v>46062</v>
      </c>
    </row>
    <row r="25" spans="4:28" x14ac:dyDescent="0.25">
      <c r="D25" t="s">
        <v>128</v>
      </c>
      <c r="E25" t="s">
        <v>134</v>
      </c>
      <c r="F25" t="s">
        <v>155</v>
      </c>
      <c r="G25" t="s">
        <v>83</v>
      </c>
      <c r="H25" t="s">
        <v>83</v>
      </c>
      <c r="I25" t="s">
        <v>84</v>
      </c>
      <c r="J25" t="s">
        <v>88</v>
      </c>
      <c r="K25" t="s">
        <v>181</v>
      </c>
      <c r="L25">
        <v>1</v>
      </c>
      <c r="M25" t="s">
        <v>149</v>
      </c>
      <c r="N25" t="s">
        <v>88</v>
      </c>
      <c r="O25">
        <v>2</v>
      </c>
      <c r="P25">
        <v>56</v>
      </c>
      <c r="Q25">
        <v>5</v>
      </c>
      <c r="R25">
        <v>51</v>
      </c>
      <c r="S25">
        <v>56</v>
      </c>
      <c r="T25" t="s">
        <v>154</v>
      </c>
      <c r="U25">
        <v>2</v>
      </c>
      <c r="V25">
        <v>22</v>
      </c>
      <c r="W25">
        <v>4</v>
      </c>
      <c r="X25">
        <v>1.65</v>
      </c>
      <c r="Y25" s="8">
        <f>+U25*(V25+W25)*X25*S25/10000</f>
        <v>0.48048000000000002</v>
      </c>
      <c r="Z25" t="s">
        <v>182</v>
      </c>
      <c r="AA25">
        <v>45989</v>
      </c>
      <c r="AB25">
        <v>46062</v>
      </c>
    </row>
    <row r="26" spans="4:28" x14ac:dyDescent="0.25">
      <c r="D26" t="s">
        <v>128</v>
      </c>
      <c r="E26" t="s">
        <v>134</v>
      </c>
      <c r="F26" t="s">
        <v>155</v>
      </c>
      <c r="G26" t="s">
        <v>83</v>
      </c>
      <c r="H26" t="s">
        <v>83</v>
      </c>
      <c r="I26" t="s">
        <v>84</v>
      </c>
      <c r="J26" t="s">
        <v>97</v>
      </c>
      <c r="K26" t="s">
        <v>139</v>
      </c>
      <c r="L26" t="s">
        <v>106</v>
      </c>
      <c r="M26" t="s">
        <v>100</v>
      </c>
      <c r="N26" t="s">
        <v>186</v>
      </c>
      <c r="O26">
        <v>2</v>
      </c>
      <c r="P26">
        <v>26</v>
      </c>
      <c r="Q26">
        <v>5</v>
      </c>
      <c r="R26">
        <v>21</v>
      </c>
      <c r="S26">
        <v>26</v>
      </c>
      <c r="T26" t="s">
        <v>154</v>
      </c>
      <c r="U26">
        <v>2</v>
      </c>
      <c r="V26">
        <v>18</v>
      </c>
      <c r="W26">
        <v>4</v>
      </c>
      <c r="X26">
        <v>1.65</v>
      </c>
      <c r="Y26" s="8">
        <f>+U26*(V26+W26)*X26*S26/10000</f>
        <v>0.18875999999999998</v>
      </c>
      <c r="Z26" t="s">
        <v>187</v>
      </c>
      <c r="AA26">
        <v>45772</v>
      </c>
      <c r="AB26">
        <v>46062</v>
      </c>
    </row>
    <row r="27" spans="4:28" x14ac:dyDescent="0.25">
      <c r="D27" t="s">
        <v>128</v>
      </c>
      <c r="E27" t="s">
        <v>134</v>
      </c>
      <c r="F27" t="s">
        <v>156</v>
      </c>
      <c r="G27" t="s">
        <v>83</v>
      </c>
      <c r="H27" t="s">
        <v>83</v>
      </c>
      <c r="I27" t="s">
        <v>84</v>
      </c>
      <c r="J27" t="s">
        <v>140</v>
      </c>
      <c r="K27" t="s">
        <v>141</v>
      </c>
      <c r="L27">
        <v>27</v>
      </c>
      <c r="N27" t="s">
        <v>169</v>
      </c>
      <c r="O27">
        <v>1</v>
      </c>
      <c r="P27">
        <v>47</v>
      </c>
      <c r="Q27">
        <v>5</v>
      </c>
      <c r="R27">
        <v>42</v>
      </c>
      <c r="S27">
        <v>47</v>
      </c>
      <c r="T27" t="s">
        <v>154</v>
      </c>
      <c r="U27">
        <v>2</v>
      </c>
      <c r="V27">
        <v>18</v>
      </c>
      <c r="W27">
        <v>4</v>
      </c>
      <c r="X27">
        <v>1.65</v>
      </c>
      <c r="Y27" s="8">
        <f>+U27*(V27+W27)*X27*S27/10000</f>
        <v>0.34121999999999997</v>
      </c>
      <c r="Z27" t="s">
        <v>161</v>
      </c>
    </row>
    <row r="28" spans="4:28" x14ac:dyDescent="0.25">
      <c r="D28" t="s">
        <v>128</v>
      </c>
      <c r="E28" t="s">
        <v>134</v>
      </c>
      <c r="F28" t="s">
        <v>156</v>
      </c>
      <c r="G28" t="s">
        <v>83</v>
      </c>
      <c r="H28" t="s">
        <v>83</v>
      </c>
      <c r="I28" t="s">
        <v>84</v>
      </c>
      <c r="J28" t="s">
        <v>107</v>
      </c>
      <c r="K28" t="s">
        <v>108</v>
      </c>
      <c r="L28">
        <v>21</v>
      </c>
      <c r="M28" t="s">
        <v>110</v>
      </c>
      <c r="N28" t="s">
        <v>168</v>
      </c>
      <c r="O28">
        <v>2</v>
      </c>
      <c r="P28">
        <v>55</v>
      </c>
      <c r="Q28">
        <v>5</v>
      </c>
      <c r="R28">
        <v>50</v>
      </c>
      <c r="S28">
        <v>55</v>
      </c>
      <c r="T28" t="s">
        <v>154</v>
      </c>
      <c r="U28">
        <v>2</v>
      </c>
      <c r="V28">
        <v>18</v>
      </c>
      <c r="W28">
        <v>4</v>
      </c>
      <c r="X28">
        <v>1.65</v>
      </c>
      <c r="Y28" s="8">
        <f>+U28*(V28+W28)*X28*S28/10000</f>
        <v>0.39929999999999993</v>
      </c>
      <c r="Z28" t="s">
        <v>162</v>
      </c>
      <c r="AA28">
        <v>45847</v>
      </c>
      <c r="AB28">
        <v>46062</v>
      </c>
    </row>
    <row r="29" spans="4:28" x14ac:dyDescent="0.25">
      <c r="D29" t="s">
        <v>128</v>
      </c>
      <c r="E29" t="s">
        <v>134</v>
      </c>
      <c r="F29" t="s">
        <v>156</v>
      </c>
      <c r="G29" t="s">
        <v>83</v>
      </c>
      <c r="H29" t="s">
        <v>83</v>
      </c>
      <c r="I29" t="s">
        <v>84</v>
      </c>
      <c r="J29" t="s">
        <v>101</v>
      </c>
      <c r="K29" t="s">
        <v>145</v>
      </c>
      <c r="L29" t="s">
        <v>146</v>
      </c>
      <c r="M29" t="s">
        <v>147</v>
      </c>
      <c r="N29" t="s">
        <v>165</v>
      </c>
      <c r="O29">
        <v>1</v>
      </c>
      <c r="P29">
        <v>55</v>
      </c>
      <c r="Q29">
        <v>5</v>
      </c>
      <c r="R29">
        <v>50</v>
      </c>
      <c r="S29">
        <v>55</v>
      </c>
      <c r="T29" t="s">
        <v>154</v>
      </c>
      <c r="U29">
        <v>2</v>
      </c>
      <c r="V29">
        <v>18</v>
      </c>
      <c r="W29">
        <v>4</v>
      </c>
      <c r="X29">
        <v>1.65</v>
      </c>
      <c r="Y29" s="8">
        <f>+U29*(V29+W29)*X29*S29/10000</f>
        <v>0.39929999999999993</v>
      </c>
      <c r="Z29" t="s">
        <v>164</v>
      </c>
      <c r="AA29">
        <v>45393</v>
      </c>
      <c r="AB29">
        <v>46062</v>
      </c>
    </row>
  </sheetData>
  <autoFilter ref="A2:AM29" xr:uid="{00000000-0001-0000-0000-000000000000}">
    <sortState xmlns:xlrd2="http://schemas.microsoft.com/office/spreadsheetml/2017/richdata2" ref="A3:AM29">
      <sortCondition ref="E2:E29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A. Salazar Villareal</dc:creator>
  <cp:lastModifiedBy>Fernando Silva Aguilar</cp:lastModifiedBy>
  <dcterms:created xsi:type="dcterms:W3CDTF">2020-07-09T01:24:07Z</dcterms:created>
  <dcterms:modified xsi:type="dcterms:W3CDTF">2026-02-09T14:33:04Z</dcterms:modified>
</cp:coreProperties>
</file>