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icanaoff365-my.sharepoint.com/personal/fitome1_cenicanaoff365_onmicrosoft_com/Documents/Descargas/"/>
    </mc:Choice>
  </mc:AlternateContent>
  <xr:revisionPtr revIDLastSave="6" documentId="11_C38D62A0161E977ADA4704342AB10482B6E86B79" xr6:coauthVersionLast="47" xr6:coauthVersionMax="47" xr10:uidLastSave="{3D28B0E6-404C-4C57-BADC-84AF5FC090D4}"/>
  <bookViews>
    <workbookView xWindow="-110" yWindow="-110" windowWidth="19420" windowHeight="11500" tabRatio="599" xr2:uid="{00000000-000D-0000-FFFF-FFFF00000000}"/>
  </bookViews>
  <sheets>
    <sheet name="Ensayo" sheetId="1" r:id="rId1"/>
  </sheets>
  <definedNames>
    <definedName name="_xlnm._FilterDatabase" localSheetId="0" hidden="1">Ensayo!$A$2:$AM$87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0" i="1" l="1"/>
  <c r="AF18" i="1"/>
  <c r="AF17" i="1"/>
  <c r="AF80" i="1"/>
  <c r="AF81" i="1"/>
  <c r="AF82" i="1"/>
  <c r="AF83" i="1"/>
  <c r="AF84" i="1"/>
  <c r="AF85" i="1"/>
  <c r="AF86" i="1"/>
  <c r="AF87" i="1"/>
  <c r="AF78" i="1"/>
  <c r="AF79" i="1"/>
  <c r="AF76" i="1"/>
  <c r="AF77" i="1"/>
  <c r="AF75" i="1"/>
  <c r="AF66" i="1"/>
  <c r="AF47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3" i="1"/>
  <c r="AG4" i="1"/>
  <c r="B4" i="1" s="1"/>
  <c r="AG5" i="1"/>
  <c r="AG6" i="1"/>
  <c r="C6" i="1" s="1"/>
  <c r="AG7" i="1"/>
  <c r="C7" i="1" s="1"/>
  <c r="AG8" i="1"/>
  <c r="AG9" i="1"/>
  <c r="AG10" i="1"/>
  <c r="B10" i="1" s="1"/>
  <c r="AG11" i="1"/>
  <c r="B11" i="1" s="1"/>
  <c r="AG12" i="1"/>
  <c r="C12" i="1" s="1"/>
  <c r="AG13" i="1"/>
  <c r="AG14" i="1"/>
  <c r="C14" i="1" s="1"/>
  <c r="AG15" i="1"/>
  <c r="AG16" i="1"/>
  <c r="AG17" i="1"/>
  <c r="AG18" i="1"/>
  <c r="B18" i="1" s="1"/>
  <c r="AG19" i="1"/>
  <c r="C19" i="1" s="1"/>
  <c r="AG20" i="1"/>
  <c r="C20" i="1" s="1"/>
  <c r="AG21" i="1"/>
  <c r="AG22" i="1"/>
  <c r="C22" i="1" s="1"/>
  <c r="AG23" i="1"/>
  <c r="C23" i="1" s="1"/>
  <c r="AG24" i="1"/>
  <c r="AG25" i="1"/>
  <c r="AG26" i="1"/>
  <c r="B26" i="1" s="1"/>
  <c r="AG27" i="1"/>
  <c r="C27" i="1" s="1"/>
  <c r="AG28" i="1"/>
  <c r="B28" i="1" s="1"/>
  <c r="AG29" i="1"/>
  <c r="AG30" i="1"/>
  <c r="B30" i="1" s="1"/>
  <c r="AG31" i="1"/>
  <c r="AG32" i="1"/>
  <c r="AG33" i="1"/>
  <c r="AG34" i="1"/>
  <c r="B34" i="1" s="1"/>
  <c r="AG35" i="1"/>
  <c r="C35" i="1" s="1"/>
  <c r="AG36" i="1"/>
  <c r="B36" i="1" s="1"/>
  <c r="AG37" i="1"/>
  <c r="AG38" i="1"/>
  <c r="C38" i="1" s="1"/>
  <c r="AG39" i="1"/>
  <c r="AG40" i="1"/>
  <c r="AG41" i="1"/>
  <c r="AG42" i="1"/>
  <c r="B42" i="1" s="1"/>
  <c r="AG43" i="1"/>
  <c r="C43" i="1" s="1"/>
  <c r="AG44" i="1"/>
  <c r="B44" i="1" s="1"/>
  <c r="AG45" i="1"/>
  <c r="AG46" i="1"/>
  <c r="C46" i="1" s="1"/>
  <c r="AG47" i="1"/>
  <c r="AG48" i="1"/>
  <c r="AG49" i="1"/>
  <c r="AG50" i="1"/>
  <c r="B50" i="1" s="1"/>
  <c r="AG51" i="1"/>
  <c r="C51" i="1" s="1"/>
  <c r="AG52" i="1"/>
  <c r="B52" i="1" s="1"/>
  <c r="AG53" i="1"/>
  <c r="AG54" i="1"/>
  <c r="C54" i="1" s="1"/>
  <c r="AG55" i="1"/>
  <c r="AG56" i="1"/>
  <c r="AG57" i="1"/>
  <c r="AG58" i="1"/>
  <c r="B58" i="1" s="1"/>
  <c r="AG59" i="1"/>
  <c r="B59" i="1" s="1"/>
  <c r="AG60" i="1"/>
  <c r="C60" i="1" s="1"/>
  <c r="AG61" i="1"/>
  <c r="AG62" i="1"/>
  <c r="C62" i="1" s="1"/>
  <c r="AG63" i="1"/>
  <c r="C63" i="1" s="1"/>
  <c r="AG64" i="1"/>
  <c r="AG65" i="1"/>
  <c r="AG66" i="1"/>
  <c r="B66" i="1" s="1"/>
  <c r="AG67" i="1"/>
  <c r="C67" i="1" s="1"/>
  <c r="AG68" i="1"/>
  <c r="C68" i="1" s="1"/>
  <c r="AG69" i="1"/>
  <c r="AG70" i="1"/>
  <c r="C70" i="1" s="1"/>
  <c r="AG71" i="1"/>
  <c r="AG72" i="1"/>
  <c r="AG73" i="1"/>
  <c r="B73" i="1" s="1"/>
  <c r="AG74" i="1"/>
  <c r="C74" i="1" s="1"/>
  <c r="AG75" i="1"/>
  <c r="B75" i="1" s="1"/>
  <c r="AG76" i="1"/>
  <c r="B76" i="1" s="1"/>
  <c r="AG77" i="1"/>
  <c r="AG78" i="1"/>
  <c r="C78" i="1" s="1"/>
  <c r="AG79" i="1"/>
  <c r="AG80" i="1"/>
  <c r="B80" i="1" s="1"/>
  <c r="AG81" i="1"/>
  <c r="C81" i="1" s="1"/>
  <c r="AG82" i="1"/>
  <c r="B82" i="1" s="1"/>
  <c r="AG83" i="1"/>
  <c r="AG84" i="1"/>
  <c r="B84" i="1" s="1"/>
  <c r="AG85" i="1"/>
  <c r="C85" i="1" s="1"/>
  <c r="AG86" i="1"/>
  <c r="AG87" i="1"/>
  <c r="B87" i="1" s="1"/>
  <c r="AG3" i="1"/>
  <c r="B3" i="1" s="1"/>
  <c r="AF58" i="1"/>
  <c r="AF59" i="1"/>
  <c r="AF57" i="1"/>
  <c r="AF38" i="1"/>
  <c r="AF39" i="1"/>
  <c r="AF40" i="1"/>
  <c r="AF41" i="1"/>
  <c r="AF42" i="1"/>
  <c r="AF37" i="1"/>
  <c r="AF36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9" i="1"/>
  <c r="AF20" i="1"/>
  <c r="AF21" i="1"/>
  <c r="AF22" i="1"/>
  <c r="AF23" i="1"/>
  <c r="AF24" i="1"/>
  <c r="AF25" i="1"/>
  <c r="AF26" i="1"/>
  <c r="AF27" i="1"/>
  <c r="AF28" i="1"/>
  <c r="AF29" i="1"/>
  <c r="AF31" i="1"/>
  <c r="AF32" i="1"/>
  <c r="AF33" i="1"/>
  <c r="AF34" i="1"/>
  <c r="AF35" i="1"/>
  <c r="AF43" i="1"/>
  <c r="AF44" i="1"/>
  <c r="AF45" i="1"/>
  <c r="AF46" i="1"/>
  <c r="AF48" i="1"/>
  <c r="AF49" i="1"/>
  <c r="AF50" i="1"/>
  <c r="AF51" i="1"/>
  <c r="AF52" i="1"/>
  <c r="AF53" i="1"/>
  <c r="AF54" i="1"/>
  <c r="AF55" i="1"/>
  <c r="AF56" i="1"/>
  <c r="AF60" i="1"/>
  <c r="AF61" i="1"/>
  <c r="AF62" i="1"/>
  <c r="AF63" i="1"/>
  <c r="AF64" i="1"/>
  <c r="AF65" i="1"/>
  <c r="AF67" i="1"/>
  <c r="AF68" i="1"/>
  <c r="AF69" i="1"/>
  <c r="AF70" i="1"/>
  <c r="AF71" i="1"/>
  <c r="AF72" i="1"/>
  <c r="AF73" i="1"/>
  <c r="AF74" i="1"/>
  <c r="AF4" i="1"/>
  <c r="AF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3" i="1"/>
  <c r="C5" i="1"/>
  <c r="C8" i="1"/>
  <c r="C9" i="1"/>
  <c r="C13" i="1"/>
  <c r="C15" i="1"/>
  <c r="C16" i="1"/>
  <c r="C17" i="1"/>
  <c r="C21" i="1"/>
  <c r="C24" i="1"/>
  <c r="C25" i="1"/>
  <c r="C28" i="1"/>
  <c r="C29" i="1"/>
  <c r="C30" i="1"/>
  <c r="C31" i="1"/>
  <c r="C32" i="1"/>
  <c r="C33" i="1"/>
  <c r="C37" i="1"/>
  <c r="C39" i="1"/>
  <c r="C40" i="1"/>
  <c r="C41" i="1"/>
  <c r="C45" i="1"/>
  <c r="C47" i="1"/>
  <c r="C48" i="1"/>
  <c r="C49" i="1"/>
  <c r="C52" i="1"/>
  <c r="C53" i="1"/>
  <c r="C55" i="1"/>
  <c r="C56" i="1"/>
  <c r="C57" i="1"/>
  <c r="C61" i="1"/>
  <c r="C64" i="1"/>
  <c r="C65" i="1"/>
  <c r="C69" i="1"/>
  <c r="C71" i="1"/>
  <c r="C72" i="1"/>
  <c r="C77" i="1"/>
  <c r="C79" i="1"/>
  <c r="C83" i="1"/>
  <c r="C86" i="1"/>
  <c r="B5" i="1"/>
  <c r="B7" i="1"/>
  <c r="B8" i="1"/>
  <c r="B9" i="1"/>
  <c r="B13" i="1"/>
  <c r="B14" i="1"/>
  <c r="B15" i="1"/>
  <c r="B16" i="1"/>
  <c r="B17" i="1"/>
  <c r="B19" i="1"/>
  <c r="B21" i="1"/>
  <c r="B23" i="1"/>
  <c r="B24" i="1"/>
  <c r="B25" i="1"/>
  <c r="B29" i="1"/>
  <c r="B31" i="1"/>
  <c r="B32" i="1"/>
  <c r="B33" i="1"/>
  <c r="B37" i="1"/>
  <c r="B38" i="1"/>
  <c r="B39" i="1"/>
  <c r="B40" i="1"/>
  <c r="B41" i="1"/>
  <c r="B45" i="1"/>
  <c r="B47" i="1"/>
  <c r="B48" i="1"/>
  <c r="B49" i="1"/>
  <c r="B53" i="1"/>
  <c r="B55" i="1"/>
  <c r="B56" i="1"/>
  <c r="B57" i="1"/>
  <c r="B61" i="1"/>
  <c r="B63" i="1"/>
  <c r="B64" i="1"/>
  <c r="B65" i="1"/>
  <c r="B67" i="1"/>
  <c r="B69" i="1"/>
  <c r="B70" i="1"/>
  <c r="B71" i="1"/>
  <c r="B72" i="1"/>
  <c r="B74" i="1"/>
  <c r="B77" i="1"/>
  <c r="B79" i="1"/>
  <c r="B81" i="1"/>
  <c r="B83" i="1"/>
  <c r="B86" i="1"/>
  <c r="C36" i="1" l="1"/>
  <c r="B60" i="1"/>
  <c r="C84" i="1"/>
  <c r="C44" i="1"/>
  <c r="C4" i="1"/>
  <c r="C76" i="1"/>
  <c r="B12" i="1"/>
  <c r="B68" i="1"/>
  <c r="B20" i="1"/>
  <c r="C82" i="1"/>
  <c r="B78" i="1"/>
  <c r="B6" i="1"/>
  <c r="B85" i="1"/>
  <c r="B46" i="1"/>
  <c r="C59" i="1"/>
  <c r="B54" i="1"/>
  <c r="B22" i="1"/>
  <c r="B62" i="1"/>
  <c r="B27" i="1"/>
  <c r="B35" i="1"/>
  <c r="C75" i="1"/>
  <c r="C11" i="1"/>
  <c r="B43" i="1"/>
  <c r="B51" i="1"/>
  <c r="C87" i="1"/>
  <c r="C80" i="1"/>
  <c r="C73" i="1"/>
  <c r="C66" i="1"/>
  <c r="C58" i="1"/>
  <c r="C50" i="1"/>
  <c r="C42" i="1"/>
  <c r="C34" i="1"/>
  <c r="C26" i="1"/>
  <c r="C18" i="1"/>
  <c r="C10" i="1"/>
  <c r="C3" i="1"/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3" i="1"/>
</calcChain>
</file>

<file path=xl/sharedStrings.xml><?xml version="1.0" encoding="utf-8"?>
<sst xmlns="http://schemas.openxmlformats.org/spreadsheetml/2006/main" count="1237" uniqueCount="272">
  <si>
    <t>FS</t>
  </si>
  <si>
    <t>FC</t>
  </si>
  <si>
    <t>Corte</t>
  </si>
  <si>
    <t>Ingenio</t>
  </si>
  <si>
    <t>Hacienda</t>
  </si>
  <si>
    <t>ZA</t>
  </si>
  <si>
    <t>Feval</t>
  </si>
  <si>
    <t>Nombre_Ensayo</t>
  </si>
  <si>
    <t>Nombre_Env</t>
  </si>
  <si>
    <t>Edad Actual</t>
  </si>
  <si>
    <t>MDS</t>
  </si>
  <si>
    <t>Comentario</t>
  </si>
  <si>
    <t>Serie</t>
  </si>
  <si>
    <t>Entradas</t>
  </si>
  <si>
    <t>Plots</t>
  </si>
  <si>
    <t>Diseño</t>
  </si>
  <si>
    <t>Amb_Seleccion</t>
  </si>
  <si>
    <t>NombreArchivo</t>
  </si>
  <si>
    <t>RMA</t>
  </si>
  <si>
    <t>CS</t>
  </si>
  <si>
    <t>Objetivo</t>
  </si>
  <si>
    <t>Año</t>
  </si>
  <si>
    <t>Proyecto</t>
  </si>
  <si>
    <t>AreaEnsayo</t>
  </si>
  <si>
    <t>Nsurcos/Plot</t>
  </si>
  <si>
    <t>LonSurco</t>
  </si>
  <si>
    <t>Checks</t>
  </si>
  <si>
    <t>NoClones</t>
  </si>
  <si>
    <t>Mes</t>
  </si>
  <si>
    <t>Nombre_Ensayo2</t>
  </si>
  <si>
    <t>ID</t>
  </si>
  <si>
    <t>FC-Programada</t>
  </si>
  <si>
    <t>Investigador</t>
  </si>
  <si>
    <t>Estado de selección y desarrollo en el proceso de selección de variedades</t>
  </si>
  <si>
    <t>Serie de selección, corresponde al año en que se realizo la selección de los clones</t>
  </si>
  <si>
    <t>Corresponde al ambiente de selección para el cual fue desarrollada y seleccionada la variedad</t>
  </si>
  <si>
    <t>Amb_Evaluación</t>
  </si>
  <si>
    <t>Corresponde al objetivo general que se busca con la ejecución del ensayo</t>
  </si>
  <si>
    <t>Nombre de la hacienda y debe ser la que aparece en la base de datos de GIS de Cenicaña</t>
  </si>
  <si>
    <t>Consociación de la suerte y debe la que aparece en la base de datos de GIS de Cenicaña</t>
  </si>
  <si>
    <t>Numero total de parcelas evaluadas en el ensayo</t>
  </si>
  <si>
    <t>DistEntreSurco</t>
  </si>
  <si>
    <t>Distancia del entre surco (m)</t>
  </si>
  <si>
    <t>Fecha de siembra del experimento DEBE seguir el formato cargado por defecto del PC</t>
  </si>
  <si>
    <t>Fecha de evaluación del experimento DEBE seguir el formato cargado por defecto del PC</t>
  </si>
  <si>
    <t>Fecha de cosecha Final del experimento DEBE seguir el formato cargado por defecto del PC</t>
  </si>
  <si>
    <t>Fecha de cosecha PROGRAMADA del experimento DEBE seguir el formato cargado por defecto del PC</t>
  </si>
  <si>
    <t>LonSurcoCallejon</t>
  </si>
  <si>
    <t>Investigador responsable del proyecto de investigación</t>
  </si>
  <si>
    <t>Suerte</t>
  </si>
  <si>
    <t>ID consecutivo de la base de datos, se creara automáticamente por el sistema</t>
  </si>
  <si>
    <t>Este nombre corresponde al código que de dará en SIVAR: Ingenio-Año-Hacienda-Suerte
El sistema lo genera automáticamente.</t>
  </si>
  <si>
    <t>Este nombre corresponde al código que de dará en SIVAR: Ingenio-Año-Hacienda-Suerte-Corte
El sistema lo genera automáticamente.</t>
  </si>
  <si>
    <t>Corresponde al nombre del proyecto que aparece en la base de evaluación de proyectos y en biblioteca digital</t>
  </si>
  <si>
    <t xml:space="preserve">Corresponde al ambiente de selección en el cual se están evaluado los clones </t>
  </si>
  <si>
    <t>Código de dos letras que representa al ingenio en el cual se esta evaluando el ensayo, debe ser igual al establecido por Cenicaña para la codificación de los ingenios</t>
  </si>
  <si>
    <t>Código de la suerte y debe ser el que aparece en la base de datos de GIS de Cenicaña</t>
  </si>
  <si>
    <t>Zona Agroecología de la suerte y debe la que aparece en la base de datos de GIS de Cenicaña</t>
  </si>
  <si>
    <t>Corte actual del ensayo, deber ser numérico: 1=plantilla, 2=Soca1, … etc.</t>
  </si>
  <si>
    <t>Numero de entradas (incluyendo testigos) que se están evaluando en el ensayo / vivero</t>
  </si>
  <si>
    <t>Numero de testigos que se están incluyendo en la evaluación del ensayo</t>
  </si>
  <si>
    <t>Numero de clones, entradas que se están evaluando. En el caso de los Estado I corresponde al numero de segregantes</t>
  </si>
  <si>
    <t>Diseño estadístico con el cual se planeo el experimento: UNREP, Bloques aumentados, Bloques incompletos, latices, etc.</t>
  </si>
  <si>
    <t>Numero de surcos por parcela (útiles) que se están evaluando</t>
  </si>
  <si>
    <t>Longitud del surco de la parcela útil (m)</t>
  </si>
  <si>
    <t>Longitud del surco del callejón (m)</t>
  </si>
  <si>
    <t>Área total del ensayo (ha). Esta se calculara a partir de Área=(V+W/2)*U*X*S</t>
  </si>
  <si>
    <t>Red meteorología de influencia al sitio en donde fue establecido el experimento (GIS)</t>
  </si>
  <si>
    <t>Meses después de la evaluación, será calculada como la diferencia entre las fechas de siembra y cosecha Final</t>
  </si>
  <si>
    <t>Estado actual del experimento, se calculara automáticamente</t>
  </si>
  <si>
    <t>Año de siembra, se calculara automáticamente a partir de la FS</t>
  </si>
  <si>
    <t>Mes de siembra, se calculara automáticamente a partir de la FS</t>
  </si>
  <si>
    <t>Comentarios adicionales / observaciones generales del experimento</t>
  </si>
  <si>
    <t>Corresponde a la ubicación física en donde esta la información (Esta será creada automáticamente por el sistema)</t>
  </si>
  <si>
    <t>Nombre del ensayo que se presentara en reportes técnico, será creado automáticamente por el sistema</t>
  </si>
  <si>
    <t>Estado de selección</t>
  </si>
  <si>
    <t>TipoCosecha</t>
  </si>
  <si>
    <t>Corresponde a la forma en que se hará la cosecha: Manual (verde / quemada) o mecanizada</t>
  </si>
  <si>
    <t>Estado III</t>
  </si>
  <si>
    <t>Prueba Regional</t>
  </si>
  <si>
    <t xml:space="preserve">Estado I </t>
  </si>
  <si>
    <t>Estado I EZS</t>
  </si>
  <si>
    <t>Estado II</t>
  </si>
  <si>
    <t xml:space="preserve">Semillero </t>
  </si>
  <si>
    <t xml:space="preserve">Estado III </t>
  </si>
  <si>
    <t xml:space="preserve"> Estado  II </t>
  </si>
  <si>
    <t>SRR</t>
  </si>
  <si>
    <t>C1</t>
  </si>
  <si>
    <t xml:space="preserve">Prueba regional </t>
  </si>
  <si>
    <t>Maduración precoz</t>
  </si>
  <si>
    <t>Mate</t>
  </si>
  <si>
    <t>Semillero</t>
  </si>
  <si>
    <t>2014, 2016, 2019</t>
  </si>
  <si>
    <t>Prueba regional</t>
  </si>
  <si>
    <t>Selección</t>
  </si>
  <si>
    <t>2015, 2020</t>
  </si>
  <si>
    <t>2021, SRR</t>
  </si>
  <si>
    <t>MATE</t>
  </si>
  <si>
    <t>2016, 2018, 2019</t>
  </si>
  <si>
    <t>Estado I EZH</t>
  </si>
  <si>
    <t>Estado I Individual</t>
  </si>
  <si>
    <t>Humedo</t>
  </si>
  <si>
    <t>2015, 2017, 2018</t>
  </si>
  <si>
    <t>Evaluación Grupos Elite</t>
  </si>
  <si>
    <t>GrupoElite</t>
  </si>
  <si>
    <t>2014-2015</t>
  </si>
  <si>
    <t>2016, 2019, 2014</t>
  </si>
  <si>
    <t>2016, 2019</t>
  </si>
  <si>
    <t>semillero Prueba Regional</t>
  </si>
  <si>
    <t>2014, 2015</t>
  </si>
  <si>
    <t>2015, 2016, 2017, 2018, 2019, 2020</t>
  </si>
  <si>
    <t>2015, 2019, 2020</t>
  </si>
  <si>
    <t>evaluación</t>
  </si>
  <si>
    <t>semillero</t>
  </si>
  <si>
    <t>Evaluación</t>
  </si>
  <si>
    <t>Floración</t>
  </si>
  <si>
    <t>CC</t>
  </si>
  <si>
    <t>Porvenir</t>
  </si>
  <si>
    <t>Reporte</t>
  </si>
  <si>
    <t>Palermo</t>
  </si>
  <si>
    <t>PR</t>
  </si>
  <si>
    <t xml:space="preserve">La Aurora </t>
  </si>
  <si>
    <t>104Y</t>
  </si>
  <si>
    <t>La Aurora</t>
  </si>
  <si>
    <t>Santa Lucia</t>
  </si>
  <si>
    <t>14Z</t>
  </si>
  <si>
    <t>010 C</t>
  </si>
  <si>
    <t>Frontera</t>
  </si>
  <si>
    <t>Providencia</t>
  </si>
  <si>
    <t>10 U</t>
  </si>
  <si>
    <t>Marsella</t>
  </si>
  <si>
    <t>PC</t>
  </si>
  <si>
    <t>Pichichi</t>
  </si>
  <si>
    <t>RS</t>
  </si>
  <si>
    <t>Fatima</t>
  </si>
  <si>
    <t>RP</t>
  </si>
  <si>
    <t>Valparaiso</t>
  </si>
  <si>
    <t>MN</t>
  </si>
  <si>
    <t>Cabaña</t>
  </si>
  <si>
    <t>62A</t>
  </si>
  <si>
    <t>Abejones</t>
  </si>
  <si>
    <t>CB</t>
  </si>
  <si>
    <t>La Industria</t>
  </si>
  <si>
    <t>Piedechinche</t>
  </si>
  <si>
    <t>CA</t>
  </si>
  <si>
    <t>Egipto</t>
  </si>
  <si>
    <t>16A</t>
  </si>
  <si>
    <t>10C</t>
  </si>
  <si>
    <t>La Meseta</t>
  </si>
  <si>
    <t>SC</t>
  </si>
  <si>
    <t>El Cairo</t>
  </si>
  <si>
    <t>Corinto</t>
  </si>
  <si>
    <t>1A</t>
  </si>
  <si>
    <t>La Lorena</t>
  </si>
  <si>
    <t>La Camelia</t>
  </si>
  <si>
    <t>AZ11U</t>
  </si>
  <si>
    <t>MY</t>
  </si>
  <si>
    <t>El Pindo</t>
  </si>
  <si>
    <t>El Lago cauca</t>
  </si>
  <si>
    <t>La leona</t>
  </si>
  <si>
    <t>Florencia</t>
  </si>
  <si>
    <t>8B</t>
  </si>
  <si>
    <t>2A</t>
  </si>
  <si>
    <t>Canada</t>
  </si>
  <si>
    <t>Vilela</t>
  </si>
  <si>
    <t>Chalo</t>
  </si>
  <si>
    <t>4a</t>
  </si>
  <si>
    <t>San fernando</t>
  </si>
  <si>
    <t>Gertrudis</t>
  </si>
  <si>
    <t>17A</t>
  </si>
  <si>
    <t>Tifton</t>
  </si>
  <si>
    <t>2B</t>
  </si>
  <si>
    <t>Lattice</t>
  </si>
  <si>
    <t>no diseño</t>
  </si>
  <si>
    <t>lattice</t>
  </si>
  <si>
    <t>Bloques aumentados</t>
  </si>
  <si>
    <t>Bloque aumentados</t>
  </si>
  <si>
    <t>Evaluación agronomica, muestreo ceniA-D, cosecha y pesaje</t>
  </si>
  <si>
    <t>Seleccionar, buscar lote, Corte de semilla</t>
  </si>
  <si>
    <t>Evaluacion cepa a cepa y muestreo a cosecha, pesaje</t>
  </si>
  <si>
    <t>evaluacion de desarrollo, muestreos y cosecha</t>
  </si>
  <si>
    <t>Cosecha y pesaje</t>
  </si>
  <si>
    <t>Evaluación agronomica cepa a cepa, muestreo ceniA-D, cosecha y pesaje</t>
  </si>
  <si>
    <t>Evaluación agronomica cepa a cepa, muestreo , cosecha y pesaje</t>
  </si>
  <si>
    <t>Marcación, macollada, evaluación agronomica, muestreo ceniA-D, cosecha y pesaje</t>
  </si>
  <si>
    <t>Muestreo, cosecha, pesaje.</t>
  </si>
  <si>
    <t>Evaluacion cepa a cepa, muestreo ceniad y  cosecha</t>
  </si>
  <si>
    <t xml:space="preserve"> corte de semilla del Lote 20 EESA</t>
  </si>
  <si>
    <t>corte de semilla renovar MY Aurora</t>
  </si>
  <si>
    <t>Cosecha, pesaje</t>
  </si>
  <si>
    <t>seguimiento</t>
  </si>
  <si>
    <t>Control de malezas, seleccion cepa a cepa</t>
  </si>
  <si>
    <t xml:space="preserve">Seguimiento, acodos </t>
  </si>
  <si>
    <t>Seguimiento</t>
  </si>
  <si>
    <t>Evaluaciónes agronomicas, muestreos sacarosa, cosecha y pesaje</t>
  </si>
  <si>
    <t>7H3</t>
  </si>
  <si>
    <t>AR</t>
  </si>
  <si>
    <t>6H2</t>
  </si>
  <si>
    <t>AY</t>
  </si>
  <si>
    <t>6H2/6H4</t>
  </si>
  <si>
    <t>AY/JN</t>
  </si>
  <si>
    <t>6H1</t>
  </si>
  <si>
    <t>CT</t>
  </si>
  <si>
    <t>31H0/11H1</t>
  </si>
  <si>
    <t>NM/PL</t>
  </si>
  <si>
    <t>6H3/9H3/11H4</t>
  </si>
  <si>
    <t>AY/IE/LM</t>
  </si>
  <si>
    <t>10H5/6H3</t>
  </si>
  <si>
    <t>AY/JN/TL</t>
  </si>
  <si>
    <t>6H1/11H1</t>
  </si>
  <si>
    <t>PA/PL</t>
  </si>
  <si>
    <t>GL</t>
  </si>
  <si>
    <t>26H1</t>
  </si>
  <si>
    <t xml:space="preserve">ES </t>
  </si>
  <si>
    <t>11H4/23H4</t>
  </si>
  <si>
    <t>MI/DP</t>
  </si>
  <si>
    <t>5H4</t>
  </si>
  <si>
    <t>LL</t>
  </si>
  <si>
    <t>11H2</t>
  </si>
  <si>
    <t>PL</t>
  </si>
  <si>
    <t>7H1</t>
  </si>
  <si>
    <t>11H3/18H3</t>
  </si>
  <si>
    <t>PL/RL</t>
  </si>
  <si>
    <t>22H0</t>
  </si>
  <si>
    <t>CE/NM</t>
  </si>
  <si>
    <t>7H2/8H3</t>
  </si>
  <si>
    <t>KA/NJ</t>
  </si>
  <si>
    <t>31H0/6H1</t>
  </si>
  <si>
    <t>NM/PA</t>
  </si>
  <si>
    <t>18H0</t>
  </si>
  <si>
    <t>NM</t>
  </si>
  <si>
    <t>30H1/7H2</t>
  </si>
  <si>
    <t>PH/KG</t>
  </si>
  <si>
    <t>CT/MN</t>
  </si>
  <si>
    <t>GL/PL</t>
  </si>
  <si>
    <t>29H0</t>
  </si>
  <si>
    <t>SE</t>
  </si>
  <si>
    <t xml:space="preserve">11H0 </t>
  </si>
  <si>
    <t>11H0</t>
  </si>
  <si>
    <t>DD</t>
  </si>
  <si>
    <t>10H3/6H1</t>
  </si>
  <si>
    <t>SU/CN</t>
  </si>
  <si>
    <t>11H1</t>
  </si>
  <si>
    <t>JR</t>
  </si>
  <si>
    <t>11H1/6H2</t>
  </si>
  <si>
    <t>JR/CN</t>
  </si>
  <si>
    <t>CE-NM</t>
  </si>
  <si>
    <t>PM</t>
  </si>
  <si>
    <t>11H0/11H1</t>
  </si>
  <si>
    <t>JR/PL</t>
  </si>
  <si>
    <t>27/29 H1, 33H0</t>
  </si>
  <si>
    <t>IT/PC/PD/PF</t>
  </si>
  <si>
    <t>11H3</t>
  </si>
  <si>
    <t>GD</t>
  </si>
  <si>
    <t>.</t>
  </si>
  <si>
    <t>1H0 / 26H0</t>
  </si>
  <si>
    <t>ES/NP</t>
  </si>
  <si>
    <t>IG</t>
  </si>
  <si>
    <t>8H3</t>
  </si>
  <si>
    <t>Piedemonte</t>
  </si>
  <si>
    <t>Semiseco</t>
  </si>
  <si>
    <t>L. Lopez</t>
  </si>
  <si>
    <t>Manual / Quemada</t>
  </si>
  <si>
    <t>Manual / Verde</t>
  </si>
  <si>
    <t>Mecanizada</t>
  </si>
  <si>
    <t>Obtención de variedades para la zona de piedemonte del Valle del Río Cauca</t>
  </si>
  <si>
    <t>Selección recurrente por sacarosa</t>
  </si>
  <si>
    <t>Obtención de variedades para la zona de humeda del Valle del Río Cauca</t>
  </si>
  <si>
    <t>Grupo elite para cruzamientos</t>
  </si>
  <si>
    <t>8b, 12</t>
  </si>
  <si>
    <t>ES/AQ</t>
  </si>
  <si>
    <t>26H1/22H0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</si>
</sst>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ITC Avant Garde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1">
    <xf numFmtId="0" fontId="0" fillId="0" borderId="0" xfId="0"/>
    <xf numFmtId="0" fontId="1" fillId="0" borderId="0" xfId="1" applyFont="1" applyFill="1" applyBorder="1"/>
    <xf numFmtId="0" fontId="1" fillId="0" borderId="0" xfId="1" quotePrefix="1" applyFont="1" applyFill="1" applyBorder="1" applyAlignment="1">
      <alignment horizontal="left"/>
    </xf>
    <xf numFmtId="0" fontId="4" fillId="0" borderId="0" xfId="0" quotePrefix="1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0" fontId="1" fillId="0" borderId="0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quotePrefix="1" applyFont="1" applyAlignment="1">
      <alignment horizontal="left" vertical="center"/>
    </xf>
    <xf numFmtId="2" fontId="0" fillId="0" borderId="0" xfId="0" applyNumberFormat="1" applyAlignment="1">
      <alignment horizontal="left"/>
    </xf>
    <xf numFmtId="14" fontId="5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0" xfId="0" quotePrefix="1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center"/>
    </xf>
  </cellXfs>
  <cellStyles count="2">
    <cellStyle name="Celda vinculada" xfId="1" builtinId="24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7"/>
  <sheetViews>
    <sheetView tabSelected="1" zoomScale="70" zoomScaleNormal="70" workbookViewId="0">
      <pane ySplit="2" topLeftCell="A76" activePane="bottomLeft" state="frozen"/>
      <selection pane="bottomLeft" activeCell="P81" sqref="P81"/>
    </sheetView>
  </sheetViews>
  <sheetFormatPr baseColWidth="10" defaultColWidth="9.1796875" defaultRowHeight="14.5" x14ac:dyDescent="0.35"/>
  <cols>
    <col min="1" max="1" width="6.81640625" customWidth="1"/>
    <col min="2" max="2" width="30.1796875" bestFit="1" customWidth="1"/>
    <col min="3" max="3" width="29.81640625" customWidth="1"/>
    <col min="4" max="4" width="53.90625" customWidth="1"/>
    <col min="5" max="5" width="18.7265625" customWidth="1"/>
    <col min="6" max="6" width="17.26953125" style="12" customWidth="1"/>
    <col min="7" max="7" width="15.81640625" customWidth="1"/>
    <col min="8" max="8" width="15.1796875" customWidth="1"/>
    <col min="9" max="9" width="13" customWidth="1"/>
    <col min="10" max="10" width="17.453125" customWidth="1"/>
    <col min="11" max="11" width="15.26953125" customWidth="1"/>
    <col min="12" max="12" width="11" customWidth="1"/>
    <col min="13" max="13" width="10.54296875" customWidth="1"/>
    <col min="14" max="14" width="10.26953125" customWidth="1"/>
    <col min="15" max="15" width="9.453125" customWidth="1"/>
    <col min="16" max="16" width="10.81640625" customWidth="1"/>
    <col min="17" max="17" width="10.1796875" customWidth="1"/>
    <col min="18" max="18" width="11.453125" customWidth="1"/>
    <col min="19" max="19" width="8.1796875" customWidth="1"/>
    <col min="20" max="20" width="14.36328125" customWidth="1"/>
    <col min="21" max="21" width="9" customWidth="1"/>
    <col min="22" max="22" width="7.90625" customWidth="1"/>
    <col min="23" max="23" width="7.54296875" customWidth="1"/>
    <col min="24" max="24" width="8.6328125" customWidth="1"/>
    <col min="25" max="25" width="10.7265625" customWidth="1"/>
    <col min="26" max="26" width="12.54296875" customWidth="1"/>
    <col min="27" max="27" width="12" style="9" customWidth="1"/>
    <col min="28" max="28" width="11.7265625" customWidth="1"/>
    <col min="29" max="29" width="10.81640625" customWidth="1"/>
    <col min="30" max="30" width="14" customWidth="1"/>
    <col min="31" max="31" width="13.08984375" customWidth="1"/>
    <col min="32" max="32" width="9.90625" customWidth="1"/>
    <col min="33" max="33" width="11.54296875" customWidth="1"/>
    <col min="34" max="34" width="9.6328125" customWidth="1"/>
    <col min="35" max="35" width="15.26953125" customWidth="1"/>
    <col min="36" max="36" width="46.1796875" customWidth="1"/>
    <col min="37" max="38" width="31" customWidth="1"/>
    <col min="39" max="39" width="13.7265625" customWidth="1"/>
  </cols>
  <sheetData>
    <row r="1" spans="1:39" ht="95.25" customHeight="1" x14ac:dyDescent="0.35">
      <c r="A1" s="3" t="s">
        <v>50</v>
      </c>
      <c r="B1" s="3" t="s">
        <v>51</v>
      </c>
      <c r="C1" s="3" t="s">
        <v>52</v>
      </c>
      <c r="D1" s="4" t="s">
        <v>53</v>
      </c>
      <c r="E1" s="4" t="s">
        <v>33</v>
      </c>
      <c r="F1" s="10" t="s">
        <v>34</v>
      </c>
      <c r="G1" s="4" t="s">
        <v>35</v>
      </c>
      <c r="H1" s="3" t="s">
        <v>54</v>
      </c>
      <c r="I1" s="4" t="s">
        <v>37</v>
      </c>
      <c r="J1" s="3" t="s">
        <v>55</v>
      </c>
      <c r="K1" s="3" t="s">
        <v>38</v>
      </c>
      <c r="L1" s="3" t="s">
        <v>56</v>
      </c>
      <c r="M1" s="3" t="s">
        <v>57</v>
      </c>
      <c r="N1" s="3" t="s">
        <v>39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40</v>
      </c>
      <c r="T1" s="3" t="s">
        <v>62</v>
      </c>
      <c r="U1" s="4" t="s">
        <v>63</v>
      </c>
      <c r="V1" s="3" t="s">
        <v>64</v>
      </c>
      <c r="W1" s="3" t="s">
        <v>65</v>
      </c>
      <c r="X1" s="4" t="s">
        <v>42</v>
      </c>
      <c r="Y1" s="4" t="s">
        <v>66</v>
      </c>
      <c r="Z1" s="19" t="s">
        <v>67</v>
      </c>
      <c r="AA1" s="8" t="s">
        <v>43</v>
      </c>
      <c r="AB1" s="3" t="s">
        <v>45</v>
      </c>
      <c r="AC1" s="3" t="s">
        <v>44</v>
      </c>
      <c r="AD1" s="3" t="s">
        <v>68</v>
      </c>
      <c r="AE1" s="3" t="s">
        <v>46</v>
      </c>
      <c r="AF1" s="4" t="s">
        <v>69</v>
      </c>
      <c r="AG1" s="4" t="s">
        <v>70</v>
      </c>
      <c r="AH1" s="3" t="s">
        <v>71</v>
      </c>
      <c r="AI1" s="3" t="s">
        <v>77</v>
      </c>
      <c r="AJ1" s="4" t="s">
        <v>72</v>
      </c>
      <c r="AK1" s="4" t="s">
        <v>73</v>
      </c>
      <c r="AL1" s="4" t="s">
        <v>74</v>
      </c>
      <c r="AM1" s="4" t="s">
        <v>48</v>
      </c>
    </row>
    <row r="2" spans="1:39" x14ac:dyDescent="0.35">
      <c r="A2" s="1" t="s">
        <v>30</v>
      </c>
      <c r="B2" s="1" t="s">
        <v>7</v>
      </c>
      <c r="C2" s="1" t="s">
        <v>8</v>
      </c>
      <c r="D2" s="1" t="s">
        <v>22</v>
      </c>
      <c r="E2" s="2" t="s">
        <v>75</v>
      </c>
      <c r="F2" s="11" t="s">
        <v>12</v>
      </c>
      <c r="G2" s="1" t="s">
        <v>16</v>
      </c>
      <c r="H2" s="1" t="s">
        <v>36</v>
      </c>
      <c r="I2" s="1" t="s">
        <v>20</v>
      </c>
      <c r="J2" s="1" t="s">
        <v>3</v>
      </c>
      <c r="K2" s="11" t="s">
        <v>4</v>
      </c>
      <c r="L2" s="11" t="s">
        <v>49</v>
      </c>
      <c r="M2" s="11" t="s">
        <v>5</v>
      </c>
      <c r="N2" s="11" t="s">
        <v>19</v>
      </c>
      <c r="O2" s="11" t="s">
        <v>2</v>
      </c>
      <c r="P2" s="11" t="s">
        <v>13</v>
      </c>
      <c r="Q2" s="11" t="s">
        <v>26</v>
      </c>
      <c r="R2" s="2" t="s">
        <v>27</v>
      </c>
      <c r="S2" s="11" t="s">
        <v>14</v>
      </c>
      <c r="T2" s="11" t="s">
        <v>15</v>
      </c>
      <c r="U2" s="11" t="s">
        <v>24</v>
      </c>
      <c r="V2" s="11" t="s">
        <v>25</v>
      </c>
      <c r="W2" s="2" t="s">
        <v>47</v>
      </c>
      <c r="X2" s="11" t="s">
        <v>41</v>
      </c>
      <c r="Y2" s="11" t="s">
        <v>23</v>
      </c>
      <c r="Z2" s="11" t="s">
        <v>18</v>
      </c>
      <c r="AA2" s="11" t="s">
        <v>0</v>
      </c>
      <c r="AB2" s="11" t="s">
        <v>1</v>
      </c>
      <c r="AC2" s="11" t="s">
        <v>6</v>
      </c>
      <c r="AD2" s="11" t="s">
        <v>10</v>
      </c>
      <c r="AE2" s="11" t="s">
        <v>31</v>
      </c>
      <c r="AF2" s="11" t="s">
        <v>9</v>
      </c>
      <c r="AG2" s="11" t="s">
        <v>21</v>
      </c>
      <c r="AH2" s="11" t="s">
        <v>28</v>
      </c>
      <c r="AI2" s="11" t="s">
        <v>76</v>
      </c>
      <c r="AJ2" s="11" t="s">
        <v>11</v>
      </c>
      <c r="AK2" s="11" t="s">
        <v>17</v>
      </c>
      <c r="AL2" s="2" t="s">
        <v>29</v>
      </c>
      <c r="AM2" s="11" t="s">
        <v>32</v>
      </c>
    </row>
    <row r="3" spans="1:39" x14ac:dyDescent="0.35">
      <c r="B3" s="5" t="str">
        <f>J3&amp;AG3&amp;"-"&amp;K3&amp;L3</f>
        <v>CC2022-Porvenir150</v>
      </c>
      <c r="C3" s="5" t="str">
        <f>J3&amp;AG3&amp;K3&amp;L3&amp;O3</f>
        <v>CC2022Porvenir1505</v>
      </c>
      <c r="D3" s="13" t="s">
        <v>265</v>
      </c>
      <c r="E3" t="s">
        <v>78</v>
      </c>
      <c r="F3" s="12">
        <v>2017</v>
      </c>
      <c r="G3" t="s">
        <v>259</v>
      </c>
      <c r="H3" t="s">
        <v>259</v>
      </c>
      <c r="I3" s="6" t="s">
        <v>112</v>
      </c>
      <c r="J3" s="6" t="s">
        <v>116</v>
      </c>
      <c r="K3" s="6" t="s">
        <v>117</v>
      </c>
      <c r="L3" s="6">
        <v>150</v>
      </c>
      <c r="M3" s="6" t="s">
        <v>195</v>
      </c>
      <c r="N3" s="6" t="s">
        <v>196</v>
      </c>
      <c r="O3" s="6">
        <v>5</v>
      </c>
      <c r="P3" s="6">
        <v>40</v>
      </c>
      <c r="Q3" s="6">
        <v>3</v>
      </c>
      <c r="R3" s="6">
        <v>40</v>
      </c>
      <c r="S3" s="6">
        <v>120</v>
      </c>
      <c r="T3" s="6" t="s">
        <v>172</v>
      </c>
      <c r="U3" s="6">
        <v>6</v>
      </c>
      <c r="V3" s="6">
        <v>30</v>
      </c>
      <c r="W3" s="7">
        <v>2.5</v>
      </c>
      <c r="X3" s="7">
        <v>1.65</v>
      </c>
      <c r="Y3" s="14">
        <f>(V3+W3)*U3*X3*S3/10000</f>
        <v>3.8610000000000002</v>
      </c>
      <c r="Z3" s="12"/>
      <c r="AA3" s="15">
        <v>44573</v>
      </c>
      <c r="AB3" s="16">
        <v>45962</v>
      </c>
      <c r="AC3" s="17">
        <v>46232</v>
      </c>
      <c r="AD3" s="18">
        <f>(AC3-AA3)/30</f>
        <v>55.3</v>
      </c>
      <c r="AE3" s="17">
        <v>46332</v>
      </c>
      <c r="AF3" s="18">
        <f ca="1">(TODAY()-AB3)/30</f>
        <v>3.3333333333333335</v>
      </c>
      <c r="AG3" s="12">
        <f>YEAR(AA3)</f>
        <v>2022</v>
      </c>
      <c r="AH3" s="12">
        <f>MONTH(AA3)</f>
        <v>1</v>
      </c>
      <c r="AI3" s="12" t="s">
        <v>262</v>
      </c>
      <c r="AJ3" s="6" t="s">
        <v>177</v>
      </c>
      <c r="AK3" s="12"/>
      <c r="AL3" s="12"/>
      <c r="AM3" s="12" t="s">
        <v>261</v>
      </c>
    </row>
    <row r="4" spans="1:39" x14ac:dyDescent="0.35">
      <c r="B4" s="5" t="str">
        <f t="shared" ref="B4:B66" si="0">J4&amp;AG4&amp;"-"&amp;K4&amp;L4</f>
        <v>CC2022-Porvenir150</v>
      </c>
      <c r="C4" s="5" t="str">
        <f t="shared" ref="C4:C66" si="1">J4&amp;AG4&amp;K4&amp;L4&amp;O4</f>
        <v>CC2022Porvenir1505</v>
      </c>
      <c r="D4" s="13" t="s">
        <v>265</v>
      </c>
      <c r="E4" t="s">
        <v>78</v>
      </c>
      <c r="F4" s="12">
        <v>2018</v>
      </c>
      <c r="G4" t="s">
        <v>259</v>
      </c>
      <c r="H4" t="s">
        <v>259</v>
      </c>
      <c r="I4" s="6" t="s">
        <v>91</v>
      </c>
      <c r="J4" s="6" t="s">
        <v>116</v>
      </c>
      <c r="K4" s="6" t="s">
        <v>117</v>
      </c>
      <c r="L4" s="6">
        <v>150</v>
      </c>
      <c r="M4" s="6" t="s">
        <v>195</v>
      </c>
      <c r="N4" s="6" t="s">
        <v>196</v>
      </c>
      <c r="O4" s="6">
        <v>5</v>
      </c>
      <c r="P4" s="6">
        <v>44</v>
      </c>
      <c r="Q4" s="6">
        <v>3</v>
      </c>
      <c r="R4" s="6">
        <v>44</v>
      </c>
      <c r="S4" s="6">
        <v>44</v>
      </c>
      <c r="T4" s="6" t="s">
        <v>173</v>
      </c>
      <c r="U4" s="6">
        <v>3</v>
      </c>
      <c r="V4" s="6">
        <v>20</v>
      </c>
      <c r="W4" s="7">
        <v>2.5</v>
      </c>
      <c r="X4" s="7">
        <v>1.65</v>
      </c>
      <c r="Y4" s="14">
        <f t="shared" ref="Y4:Y66" si="2">(V4+W4)*U4*X4*S4/10000</f>
        <v>0.49004999999999999</v>
      </c>
      <c r="Z4" s="12"/>
      <c r="AA4" s="15">
        <v>44581</v>
      </c>
      <c r="AB4" s="16">
        <v>45962</v>
      </c>
      <c r="AC4" s="17">
        <v>46232</v>
      </c>
      <c r="AD4" s="18">
        <f t="shared" ref="AD4:AD66" si="3">(AC4-AA4)/30</f>
        <v>55.033333333333331</v>
      </c>
      <c r="AE4" s="17">
        <v>46332</v>
      </c>
      <c r="AF4" s="18">
        <f ca="1">(TODAY()-AB4)/30</f>
        <v>3.3333333333333335</v>
      </c>
      <c r="AG4" s="12">
        <f t="shared" ref="AG4:AG66" si="4">YEAR(AA4)</f>
        <v>2022</v>
      </c>
      <c r="AH4" s="12">
        <f t="shared" ref="AH4:AH66" si="5">MONTH(AA4)</f>
        <v>1</v>
      </c>
      <c r="AI4" s="12" t="s">
        <v>262</v>
      </c>
      <c r="AJ4" s="6" t="s">
        <v>178</v>
      </c>
      <c r="AK4" s="12"/>
      <c r="AL4" s="12"/>
      <c r="AM4" s="12" t="s">
        <v>261</v>
      </c>
    </row>
    <row r="5" spans="1:39" x14ac:dyDescent="0.35">
      <c r="B5" s="5" t="str">
        <f t="shared" si="0"/>
        <v>CC2024-Reporte140</v>
      </c>
      <c r="C5" s="5" t="str">
        <f t="shared" si="1"/>
        <v>CC2024Reporte1402</v>
      </c>
      <c r="D5" s="13" t="s">
        <v>265</v>
      </c>
      <c r="E5" t="s">
        <v>79</v>
      </c>
      <c r="F5" s="12">
        <v>2015</v>
      </c>
      <c r="G5" t="s">
        <v>259</v>
      </c>
      <c r="H5" t="s">
        <v>259</v>
      </c>
      <c r="I5" s="6" t="s">
        <v>112</v>
      </c>
      <c r="J5" s="6" t="s">
        <v>116</v>
      </c>
      <c r="K5" s="7" t="s">
        <v>118</v>
      </c>
      <c r="L5" s="7">
        <v>140</v>
      </c>
      <c r="M5" s="6" t="s">
        <v>197</v>
      </c>
      <c r="N5" s="6" t="s">
        <v>198</v>
      </c>
      <c r="O5" s="6">
        <v>2</v>
      </c>
      <c r="P5" s="7">
        <v>15</v>
      </c>
      <c r="Q5" s="6">
        <v>3</v>
      </c>
      <c r="R5" s="7">
        <v>15</v>
      </c>
      <c r="S5" s="7">
        <v>45</v>
      </c>
      <c r="T5" s="7" t="s">
        <v>174</v>
      </c>
      <c r="U5" s="6">
        <v>5</v>
      </c>
      <c r="V5" s="7">
        <v>100</v>
      </c>
      <c r="W5" s="7">
        <v>0</v>
      </c>
      <c r="X5" s="7">
        <v>1.65</v>
      </c>
      <c r="Y5" s="14">
        <f t="shared" si="2"/>
        <v>3.7124999999999999</v>
      </c>
      <c r="Z5" s="12"/>
      <c r="AA5" s="16">
        <v>45520</v>
      </c>
      <c r="AB5" s="16">
        <v>45930</v>
      </c>
      <c r="AC5" s="17">
        <v>46200</v>
      </c>
      <c r="AD5" s="18">
        <f t="shared" si="3"/>
        <v>22.666666666666668</v>
      </c>
      <c r="AE5" s="17">
        <v>46300</v>
      </c>
      <c r="AF5" s="18">
        <f t="shared" ref="AF5:AF67" ca="1" si="6">(TODAY()-AB5)/30</f>
        <v>4.4000000000000004</v>
      </c>
      <c r="AG5" s="12">
        <f t="shared" si="4"/>
        <v>2024</v>
      </c>
      <c r="AH5" s="12">
        <f t="shared" si="5"/>
        <v>8</v>
      </c>
      <c r="AI5" s="12" t="s">
        <v>262</v>
      </c>
      <c r="AJ5" s="6" t="s">
        <v>177</v>
      </c>
      <c r="AK5" s="12"/>
      <c r="AL5" s="12"/>
      <c r="AM5" s="12" t="s">
        <v>261</v>
      </c>
    </row>
    <row r="6" spans="1:39" x14ac:dyDescent="0.35">
      <c r="B6" s="5" t="str">
        <f t="shared" si="0"/>
        <v>CC2023-Palermo230</v>
      </c>
      <c r="C6" s="5" t="str">
        <f t="shared" si="1"/>
        <v>CC2023Palermo2303</v>
      </c>
      <c r="D6" s="13" t="s">
        <v>265</v>
      </c>
      <c r="E6" t="s">
        <v>80</v>
      </c>
      <c r="F6" s="12">
        <v>2025</v>
      </c>
      <c r="G6" t="s">
        <v>259</v>
      </c>
      <c r="H6" t="s">
        <v>259</v>
      </c>
      <c r="I6" s="6" t="s">
        <v>112</v>
      </c>
      <c r="J6" s="6" t="s">
        <v>116</v>
      </c>
      <c r="K6" s="7" t="s">
        <v>119</v>
      </c>
      <c r="L6" s="7">
        <v>230</v>
      </c>
      <c r="M6" s="6" t="s">
        <v>199</v>
      </c>
      <c r="N6" s="6" t="s">
        <v>200</v>
      </c>
      <c r="O6" s="7">
        <v>3</v>
      </c>
      <c r="P6" s="7">
        <v>147</v>
      </c>
      <c r="Q6" s="6">
        <v>3</v>
      </c>
      <c r="R6" s="7">
        <v>147</v>
      </c>
      <c r="S6" s="7">
        <v>441</v>
      </c>
      <c r="T6" s="7" t="s">
        <v>174</v>
      </c>
      <c r="U6" s="7">
        <v>5</v>
      </c>
      <c r="V6" s="7">
        <v>5</v>
      </c>
      <c r="W6" s="7">
        <v>2.5</v>
      </c>
      <c r="X6" s="7">
        <v>1.65</v>
      </c>
      <c r="Y6" s="14">
        <f t="shared" si="2"/>
        <v>2.7286874999999999</v>
      </c>
      <c r="Z6" s="12"/>
      <c r="AA6" s="16">
        <v>45189</v>
      </c>
      <c r="AB6" s="16">
        <v>45920</v>
      </c>
      <c r="AC6" s="17">
        <v>46190</v>
      </c>
      <c r="AD6" s="18">
        <f t="shared" si="3"/>
        <v>33.366666666666667</v>
      </c>
      <c r="AE6" s="17">
        <v>46290</v>
      </c>
      <c r="AF6" s="18">
        <f t="shared" ca="1" si="6"/>
        <v>4.7333333333333334</v>
      </c>
      <c r="AG6" s="12">
        <f t="shared" si="4"/>
        <v>2023</v>
      </c>
      <c r="AH6" s="12">
        <f t="shared" si="5"/>
        <v>9</v>
      </c>
      <c r="AI6" s="12" t="s">
        <v>262</v>
      </c>
      <c r="AJ6" s="6" t="s">
        <v>177</v>
      </c>
      <c r="AK6" s="12"/>
      <c r="AL6" s="12"/>
      <c r="AM6" s="12" t="s">
        <v>261</v>
      </c>
    </row>
    <row r="7" spans="1:39" x14ac:dyDescent="0.35">
      <c r="B7" s="5" t="str">
        <f t="shared" si="0"/>
        <v>CC2023-Palermo230</v>
      </c>
      <c r="C7" s="5" t="str">
        <f t="shared" si="1"/>
        <v>CC2023Palermo2303</v>
      </c>
      <c r="D7" s="13" t="s">
        <v>265</v>
      </c>
      <c r="E7" t="s">
        <v>81</v>
      </c>
      <c r="F7" s="12">
        <v>2025</v>
      </c>
      <c r="G7" t="s">
        <v>259</v>
      </c>
      <c r="H7" t="s">
        <v>259</v>
      </c>
      <c r="I7" s="6" t="s">
        <v>112</v>
      </c>
      <c r="J7" s="6" t="s">
        <v>116</v>
      </c>
      <c r="K7" s="7" t="s">
        <v>119</v>
      </c>
      <c r="L7" s="7">
        <v>230</v>
      </c>
      <c r="M7" s="6" t="s">
        <v>199</v>
      </c>
      <c r="N7" s="6" t="s">
        <v>200</v>
      </c>
      <c r="O7" s="7">
        <v>3</v>
      </c>
      <c r="P7" s="7">
        <v>64</v>
      </c>
      <c r="Q7" s="6">
        <v>3</v>
      </c>
      <c r="R7" s="7">
        <v>64</v>
      </c>
      <c r="S7" s="7">
        <v>192</v>
      </c>
      <c r="T7" s="7" t="s">
        <v>174</v>
      </c>
      <c r="U7" s="7">
        <v>5</v>
      </c>
      <c r="V7" s="7">
        <v>5</v>
      </c>
      <c r="W7" s="7">
        <v>2.5</v>
      </c>
      <c r="X7" s="7">
        <v>1.65</v>
      </c>
      <c r="Y7" s="14">
        <f t="shared" si="2"/>
        <v>1.1879999999999999</v>
      </c>
      <c r="Z7" s="12"/>
      <c r="AA7" s="16">
        <v>45189</v>
      </c>
      <c r="AB7" s="16">
        <v>45920</v>
      </c>
      <c r="AC7" s="17">
        <v>46190</v>
      </c>
      <c r="AD7" s="18">
        <f t="shared" si="3"/>
        <v>33.366666666666667</v>
      </c>
      <c r="AE7" s="17">
        <v>46290</v>
      </c>
      <c r="AF7" s="18">
        <f t="shared" ca="1" si="6"/>
        <v>4.7333333333333334</v>
      </c>
      <c r="AG7" s="12">
        <f t="shared" si="4"/>
        <v>2023</v>
      </c>
      <c r="AH7" s="12">
        <f t="shared" si="5"/>
        <v>9</v>
      </c>
      <c r="AI7" s="12" t="s">
        <v>262</v>
      </c>
      <c r="AJ7" s="6" t="s">
        <v>177</v>
      </c>
      <c r="AK7" s="12"/>
      <c r="AL7" s="12"/>
      <c r="AM7" s="12" t="s">
        <v>261</v>
      </c>
    </row>
    <row r="8" spans="1:39" x14ac:dyDescent="0.35">
      <c r="B8" s="5" t="str">
        <f t="shared" si="0"/>
        <v>CC2023-Palermo230</v>
      </c>
      <c r="C8" s="5" t="str">
        <f t="shared" si="1"/>
        <v>CC2023Palermo2303</v>
      </c>
      <c r="D8" s="13" t="s">
        <v>265</v>
      </c>
      <c r="E8" t="s">
        <v>82</v>
      </c>
      <c r="F8" s="12">
        <v>2022</v>
      </c>
      <c r="G8" t="s">
        <v>259</v>
      </c>
      <c r="H8" t="s">
        <v>259</v>
      </c>
      <c r="I8" s="6" t="s">
        <v>112</v>
      </c>
      <c r="J8" s="6" t="s">
        <v>116</v>
      </c>
      <c r="K8" s="7" t="s">
        <v>119</v>
      </c>
      <c r="L8" s="7">
        <v>230</v>
      </c>
      <c r="M8" s="6" t="s">
        <v>199</v>
      </c>
      <c r="N8" s="6" t="s">
        <v>200</v>
      </c>
      <c r="O8" s="7">
        <v>3</v>
      </c>
      <c r="P8" s="7">
        <v>80</v>
      </c>
      <c r="Q8" s="6">
        <v>3</v>
      </c>
      <c r="R8" s="7">
        <v>80</v>
      </c>
      <c r="S8" s="7">
        <v>160</v>
      </c>
      <c r="T8" s="7" t="s">
        <v>174</v>
      </c>
      <c r="U8" s="7">
        <v>5</v>
      </c>
      <c r="V8" s="7">
        <v>5</v>
      </c>
      <c r="W8" s="7">
        <v>2.5</v>
      </c>
      <c r="X8" s="7">
        <v>1.65</v>
      </c>
      <c r="Y8" s="14">
        <f t="shared" si="2"/>
        <v>0.99</v>
      </c>
      <c r="Z8" s="12"/>
      <c r="AA8" s="16">
        <v>45182</v>
      </c>
      <c r="AB8" s="16">
        <v>45920</v>
      </c>
      <c r="AC8" s="17">
        <v>46190</v>
      </c>
      <c r="AD8" s="18">
        <f t="shared" si="3"/>
        <v>33.6</v>
      </c>
      <c r="AE8" s="17">
        <v>46290</v>
      </c>
      <c r="AF8" s="18">
        <f t="shared" ca="1" si="6"/>
        <v>4.7333333333333334</v>
      </c>
      <c r="AG8" s="12">
        <f t="shared" si="4"/>
        <v>2023</v>
      </c>
      <c r="AH8" s="12">
        <f t="shared" si="5"/>
        <v>9</v>
      </c>
      <c r="AI8" s="12" t="s">
        <v>262</v>
      </c>
      <c r="AJ8" s="6" t="s">
        <v>177</v>
      </c>
      <c r="AK8" s="12"/>
      <c r="AL8" s="12"/>
      <c r="AM8" s="12" t="s">
        <v>261</v>
      </c>
    </row>
    <row r="9" spans="1:39" x14ac:dyDescent="0.35">
      <c r="B9" s="5" t="str">
        <f t="shared" si="0"/>
        <v>CC2023-Palermo230</v>
      </c>
      <c r="C9" s="5" t="str">
        <f t="shared" si="1"/>
        <v>CC2023Palermo2303</v>
      </c>
      <c r="D9" s="13" t="s">
        <v>265</v>
      </c>
      <c r="E9" t="s">
        <v>78</v>
      </c>
      <c r="F9" s="12">
        <v>2019</v>
      </c>
      <c r="G9" t="s">
        <v>259</v>
      </c>
      <c r="H9" t="s">
        <v>259</v>
      </c>
      <c r="I9" s="6" t="s">
        <v>112</v>
      </c>
      <c r="J9" s="6" t="s">
        <v>116</v>
      </c>
      <c r="K9" s="7" t="s">
        <v>119</v>
      </c>
      <c r="L9" s="7">
        <v>230</v>
      </c>
      <c r="M9" s="6" t="s">
        <v>199</v>
      </c>
      <c r="N9" s="6" t="s">
        <v>200</v>
      </c>
      <c r="O9" s="7">
        <v>3</v>
      </c>
      <c r="P9" s="7">
        <v>32</v>
      </c>
      <c r="Q9" s="6">
        <v>3</v>
      </c>
      <c r="R9" s="7">
        <v>32</v>
      </c>
      <c r="S9" s="7">
        <v>96</v>
      </c>
      <c r="T9" s="7" t="s">
        <v>174</v>
      </c>
      <c r="U9" s="7">
        <v>5</v>
      </c>
      <c r="V9" s="7">
        <v>30</v>
      </c>
      <c r="W9" s="7">
        <v>2.5</v>
      </c>
      <c r="X9" s="7">
        <v>1.65</v>
      </c>
      <c r="Y9" s="14">
        <f t="shared" si="2"/>
        <v>2.5739999999999998</v>
      </c>
      <c r="Z9" s="12"/>
      <c r="AA9" s="16">
        <v>45178</v>
      </c>
      <c r="AB9" s="16">
        <v>45920</v>
      </c>
      <c r="AC9" s="17">
        <v>46190</v>
      </c>
      <c r="AD9" s="18">
        <f t="shared" si="3"/>
        <v>33.733333333333334</v>
      </c>
      <c r="AE9" s="17">
        <v>46290</v>
      </c>
      <c r="AF9" s="18">
        <f t="shared" ca="1" si="6"/>
        <v>4.7333333333333334</v>
      </c>
      <c r="AG9" s="12">
        <f t="shared" si="4"/>
        <v>2023</v>
      </c>
      <c r="AH9" s="12">
        <f t="shared" si="5"/>
        <v>9</v>
      </c>
      <c r="AI9" s="12" t="s">
        <v>262</v>
      </c>
      <c r="AJ9" s="6" t="s">
        <v>177</v>
      </c>
      <c r="AK9" s="12"/>
      <c r="AL9" s="12"/>
      <c r="AM9" s="12" t="s">
        <v>261</v>
      </c>
    </row>
    <row r="10" spans="1:39" x14ac:dyDescent="0.35">
      <c r="B10" s="5" t="str">
        <f t="shared" si="0"/>
        <v>PR2023-La Aurora 104Y</v>
      </c>
      <c r="C10" s="5" t="str">
        <f t="shared" si="1"/>
        <v>PR2023La Aurora 104Y3</v>
      </c>
      <c r="D10" s="13" t="s">
        <v>265</v>
      </c>
      <c r="E10" t="s">
        <v>83</v>
      </c>
      <c r="F10" s="12">
        <v>2014</v>
      </c>
      <c r="G10" t="s">
        <v>259</v>
      </c>
      <c r="H10" t="s">
        <v>259</v>
      </c>
      <c r="I10" s="6" t="s">
        <v>91</v>
      </c>
      <c r="J10" s="6" t="s">
        <v>120</v>
      </c>
      <c r="K10" s="7" t="s">
        <v>121</v>
      </c>
      <c r="L10" s="7" t="s">
        <v>122</v>
      </c>
      <c r="M10" s="6" t="s">
        <v>201</v>
      </c>
      <c r="N10" s="6" t="s">
        <v>202</v>
      </c>
      <c r="O10" s="7">
        <v>3</v>
      </c>
      <c r="P10" s="7">
        <v>8</v>
      </c>
      <c r="Q10" s="6">
        <v>0</v>
      </c>
      <c r="R10" s="7">
        <v>8</v>
      </c>
      <c r="S10" s="7">
        <v>8</v>
      </c>
      <c r="T10" s="7" t="s">
        <v>173</v>
      </c>
      <c r="U10" s="7">
        <v>8</v>
      </c>
      <c r="V10" s="7">
        <v>110</v>
      </c>
      <c r="W10" s="7">
        <v>0</v>
      </c>
      <c r="X10" s="7">
        <v>1.65</v>
      </c>
      <c r="Y10" s="14">
        <f t="shared" si="2"/>
        <v>1.1616</v>
      </c>
      <c r="Z10" s="12"/>
      <c r="AA10" s="16">
        <v>45000</v>
      </c>
      <c r="AB10" s="16">
        <v>45904</v>
      </c>
      <c r="AC10" s="17">
        <v>46174</v>
      </c>
      <c r="AD10" s="18">
        <f t="shared" si="3"/>
        <v>39.133333333333333</v>
      </c>
      <c r="AE10" s="17">
        <v>46274</v>
      </c>
      <c r="AF10" s="18">
        <f t="shared" ca="1" si="6"/>
        <v>5.2666666666666666</v>
      </c>
      <c r="AG10" s="12">
        <f t="shared" si="4"/>
        <v>2023</v>
      </c>
      <c r="AH10" s="12">
        <f t="shared" si="5"/>
        <v>3</v>
      </c>
      <c r="AI10" s="12" t="s">
        <v>264</v>
      </c>
      <c r="AJ10" s="6" t="s">
        <v>178</v>
      </c>
      <c r="AK10" s="12"/>
      <c r="AL10" s="12"/>
      <c r="AM10" s="12" t="s">
        <v>261</v>
      </c>
    </row>
    <row r="11" spans="1:39" x14ac:dyDescent="0.35">
      <c r="B11" s="5" t="str">
        <f t="shared" si="0"/>
        <v>PR2023-La Aurora104Y</v>
      </c>
      <c r="C11" s="5" t="str">
        <f t="shared" si="1"/>
        <v>PR2023La Aurora104Y3</v>
      </c>
      <c r="D11" s="13" t="s">
        <v>265</v>
      </c>
      <c r="E11" t="s">
        <v>84</v>
      </c>
      <c r="F11" s="12">
        <v>2018</v>
      </c>
      <c r="G11" t="s">
        <v>259</v>
      </c>
      <c r="H11" t="s">
        <v>259</v>
      </c>
      <c r="I11" s="6" t="s">
        <v>91</v>
      </c>
      <c r="J11" s="6" t="s">
        <v>120</v>
      </c>
      <c r="K11" s="7" t="s">
        <v>123</v>
      </c>
      <c r="L11" s="7" t="s">
        <v>122</v>
      </c>
      <c r="M11" s="6" t="s">
        <v>201</v>
      </c>
      <c r="N11" s="6" t="s">
        <v>202</v>
      </c>
      <c r="O11" s="7">
        <v>3</v>
      </c>
      <c r="P11" s="7">
        <v>36</v>
      </c>
      <c r="Q11" s="6">
        <v>3</v>
      </c>
      <c r="R11" s="7">
        <v>36</v>
      </c>
      <c r="S11" s="7">
        <v>72</v>
      </c>
      <c r="T11" s="6" t="s">
        <v>174</v>
      </c>
      <c r="U11" s="7">
        <v>5</v>
      </c>
      <c r="V11" s="7">
        <v>25</v>
      </c>
      <c r="W11" s="7">
        <v>2.5</v>
      </c>
      <c r="X11" s="7">
        <v>1.65</v>
      </c>
      <c r="Y11" s="14">
        <f t="shared" si="2"/>
        <v>1.6335</v>
      </c>
      <c r="Z11" s="12"/>
      <c r="AA11" s="16">
        <v>45011</v>
      </c>
      <c r="AB11" s="16">
        <v>45903</v>
      </c>
      <c r="AC11" s="17">
        <v>46173</v>
      </c>
      <c r="AD11" s="18">
        <f t="shared" si="3"/>
        <v>38.733333333333334</v>
      </c>
      <c r="AE11" s="17">
        <v>46273</v>
      </c>
      <c r="AF11" s="18">
        <f t="shared" ca="1" si="6"/>
        <v>5.3</v>
      </c>
      <c r="AG11" s="12">
        <f t="shared" si="4"/>
        <v>2023</v>
      </c>
      <c r="AH11" s="12">
        <f t="shared" si="5"/>
        <v>3</v>
      </c>
      <c r="AI11" s="12" t="s">
        <v>264</v>
      </c>
      <c r="AJ11" s="6" t="s">
        <v>178</v>
      </c>
      <c r="AK11" s="12"/>
      <c r="AL11" s="12"/>
      <c r="AM11" s="12" t="s">
        <v>261</v>
      </c>
    </row>
    <row r="12" spans="1:39" x14ac:dyDescent="0.35">
      <c r="B12" s="5" t="str">
        <f t="shared" si="0"/>
        <v>PR2023-La Aurora104Y</v>
      </c>
      <c r="C12" s="5" t="str">
        <f t="shared" si="1"/>
        <v>PR2023La Aurora104Y3</v>
      </c>
      <c r="D12" s="13" t="s">
        <v>265</v>
      </c>
      <c r="E12" t="s">
        <v>83</v>
      </c>
      <c r="F12" s="12">
        <v>2015</v>
      </c>
      <c r="G12" t="s">
        <v>259</v>
      </c>
      <c r="H12" t="s">
        <v>259</v>
      </c>
      <c r="I12" s="6" t="s">
        <v>91</v>
      </c>
      <c r="J12" s="6" t="s">
        <v>120</v>
      </c>
      <c r="K12" s="7" t="s">
        <v>123</v>
      </c>
      <c r="L12" s="7" t="s">
        <v>122</v>
      </c>
      <c r="M12" s="6" t="s">
        <v>201</v>
      </c>
      <c r="N12" s="6" t="s">
        <v>202</v>
      </c>
      <c r="O12" s="7">
        <v>3</v>
      </c>
      <c r="P12" s="7">
        <v>12</v>
      </c>
      <c r="Q12" s="6">
        <v>0</v>
      </c>
      <c r="R12" s="7">
        <v>12</v>
      </c>
      <c r="S12" s="7">
        <v>12</v>
      </c>
      <c r="T12" s="7" t="s">
        <v>173</v>
      </c>
      <c r="U12" s="7">
        <v>6</v>
      </c>
      <c r="V12" s="7">
        <v>110</v>
      </c>
      <c r="W12" s="7">
        <v>2.5</v>
      </c>
      <c r="X12" s="7">
        <v>1.65</v>
      </c>
      <c r="Y12" s="14">
        <f t="shared" si="2"/>
        <v>1.3365</v>
      </c>
      <c r="Z12" s="12"/>
      <c r="AA12" s="16">
        <v>45000</v>
      </c>
      <c r="AB12" s="16">
        <v>45902</v>
      </c>
      <c r="AC12" s="17">
        <v>46172</v>
      </c>
      <c r="AD12" s="18">
        <f t="shared" si="3"/>
        <v>39.06666666666667</v>
      </c>
      <c r="AE12" s="17">
        <v>46272</v>
      </c>
      <c r="AF12" s="18">
        <f t="shared" ca="1" si="6"/>
        <v>5.333333333333333</v>
      </c>
      <c r="AG12" s="12">
        <f t="shared" si="4"/>
        <v>2023</v>
      </c>
      <c r="AH12" s="12">
        <f t="shared" si="5"/>
        <v>3</v>
      </c>
      <c r="AI12" s="12" t="s">
        <v>264</v>
      </c>
      <c r="AJ12" s="6" t="s">
        <v>178</v>
      </c>
      <c r="AK12" s="12"/>
      <c r="AL12" s="12"/>
      <c r="AM12" s="12" t="s">
        <v>261</v>
      </c>
    </row>
    <row r="13" spans="1:39" x14ac:dyDescent="0.35">
      <c r="B13" s="5" t="str">
        <f t="shared" si="0"/>
        <v>PR2023-La Aurora104Y</v>
      </c>
      <c r="C13" s="5" t="str">
        <f t="shared" si="1"/>
        <v>PR2023La Aurora104Y3</v>
      </c>
      <c r="D13" s="13" t="s">
        <v>265</v>
      </c>
      <c r="E13" t="s">
        <v>85</v>
      </c>
      <c r="F13" s="12">
        <v>2021</v>
      </c>
      <c r="G13" t="s">
        <v>259</v>
      </c>
      <c r="H13" t="s">
        <v>259</v>
      </c>
      <c r="I13" s="6" t="s">
        <v>91</v>
      </c>
      <c r="J13" s="6" t="s">
        <v>120</v>
      </c>
      <c r="K13" s="7" t="s">
        <v>123</v>
      </c>
      <c r="L13" s="7" t="s">
        <v>122</v>
      </c>
      <c r="M13" s="6" t="s">
        <v>201</v>
      </c>
      <c r="N13" s="6" t="s">
        <v>202</v>
      </c>
      <c r="O13" s="7">
        <v>3</v>
      </c>
      <c r="P13" s="7">
        <v>140</v>
      </c>
      <c r="Q13" s="6">
        <v>3</v>
      </c>
      <c r="R13" s="7">
        <v>140</v>
      </c>
      <c r="S13" s="7">
        <v>156</v>
      </c>
      <c r="T13" s="6" t="s">
        <v>175</v>
      </c>
      <c r="U13" s="7">
        <v>3</v>
      </c>
      <c r="V13" s="7">
        <v>12</v>
      </c>
      <c r="W13" s="7">
        <v>2.5</v>
      </c>
      <c r="X13" s="7">
        <v>1.65</v>
      </c>
      <c r="Y13" s="14">
        <f t="shared" si="2"/>
        <v>1.1196899999999999</v>
      </c>
      <c r="Z13" s="12"/>
      <c r="AA13" s="16">
        <v>45011</v>
      </c>
      <c r="AB13" s="16">
        <v>45901</v>
      </c>
      <c r="AC13" s="17">
        <v>46171</v>
      </c>
      <c r="AD13" s="18">
        <f t="shared" si="3"/>
        <v>38.666666666666664</v>
      </c>
      <c r="AE13" s="17">
        <v>46271</v>
      </c>
      <c r="AF13" s="18">
        <f t="shared" ca="1" si="6"/>
        <v>5.3666666666666663</v>
      </c>
      <c r="AG13" s="12">
        <f t="shared" si="4"/>
        <v>2023</v>
      </c>
      <c r="AH13" s="12">
        <f t="shared" si="5"/>
        <v>3</v>
      </c>
      <c r="AI13" s="12" t="s">
        <v>264</v>
      </c>
      <c r="AJ13" s="6" t="s">
        <v>178</v>
      </c>
      <c r="AK13" s="12"/>
      <c r="AL13" s="12"/>
      <c r="AM13" s="12" t="s">
        <v>261</v>
      </c>
    </row>
    <row r="14" spans="1:39" x14ac:dyDescent="0.35">
      <c r="B14" s="5" t="str">
        <f t="shared" si="0"/>
        <v>PR2022-Santa Lucia14Z</v>
      </c>
      <c r="C14" s="5" t="str">
        <f t="shared" si="1"/>
        <v>PR2022Santa Lucia14Z4</v>
      </c>
      <c r="D14" s="13" t="s">
        <v>265</v>
      </c>
      <c r="E14" t="s">
        <v>78</v>
      </c>
      <c r="F14" s="12">
        <v>2019</v>
      </c>
      <c r="G14" t="s">
        <v>259</v>
      </c>
      <c r="H14" t="s">
        <v>259</v>
      </c>
      <c r="I14" s="6" t="s">
        <v>91</v>
      </c>
      <c r="J14" s="6" t="s">
        <v>120</v>
      </c>
      <c r="K14" s="7" t="s">
        <v>124</v>
      </c>
      <c r="L14" s="7" t="s">
        <v>125</v>
      </c>
      <c r="M14" s="6" t="s">
        <v>203</v>
      </c>
      <c r="N14" s="6" t="s">
        <v>204</v>
      </c>
      <c r="O14" s="7">
        <v>4</v>
      </c>
      <c r="P14" s="7">
        <v>38</v>
      </c>
      <c r="Q14" s="6">
        <v>3</v>
      </c>
      <c r="R14" s="7">
        <v>38</v>
      </c>
      <c r="S14" s="7">
        <v>38</v>
      </c>
      <c r="T14" s="7" t="s">
        <v>173</v>
      </c>
      <c r="U14" s="7">
        <v>5</v>
      </c>
      <c r="V14" s="7">
        <v>25</v>
      </c>
      <c r="W14" s="7">
        <v>2.5</v>
      </c>
      <c r="X14" s="7">
        <v>1.65</v>
      </c>
      <c r="Y14" s="14">
        <f t="shared" si="2"/>
        <v>0.86212500000000003</v>
      </c>
      <c r="Z14" s="12"/>
      <c r="AA14" s="16">
        <v>44834</v>
      </c>
      <c r="AB14" s="16">
        <v>45893</v>
      </c>
      <c r="AC14" s="17">
        <v>46163</v>
      </c>
      <c r="AD14" s="18">
        <f t="shared" si="3"/>
        <v>44.3</v>
      </c>
      <c r="AE14" s="17">
        <v>46263</v>
      </c>
      <c r="AF14" s="18">
        <f t="shared" ca="1" si="6"/>
        <v>5.6333333333333337</v>
      </c>
      <c r="AG14" s="12">
        <f t="shared" si="4"/>
        <v>2022</v>
      </c>
      <c r="AH14" s="12">
        <f t="shared" si="5"/>
        <v>9</v>
      </c>
      <c r="AI14" s="12" t="s">
        <v>264</v>
      </c>
      <c r="AJ14" s="6" t="s">
        <v>178</v>
      </c>
      <c r="AK14" s="12"/>
      <c r="AL14" s="12"/>
      <c r="AM14" s="12" t="s">
        <v>261</v>
      </c>
    </row>
    <row r="15" spans="1:39" x14ac:dyDescent="0.35">
      <c r="B15" s="5" t="str">
        <f t="shared" si="0"/>
        <v>PR2022-Santa Lucia14Z</v>
      </c>
      <c r="C15" s="5" t="str">
        <f t="shared" si="1"/>
        <v>PR2022Santa Lucia14Z4</v>
      </c>
      <c r="D15" s="13" t="s">
        <v>265</v>
      </c>
      <c r="E15" t="s">
        <v>78</v>
      </c>
      <c r="F15" s="12">
        <v>2016</v>
      </c>
      <c r="G15" t="s">
        <v>259</v>
      </c>
      <c r="H15" t="s">
        <v>259</v>
      </c>
      <c r="I15" s="6" t="s">
        <v>112</v>
      </c>
      <c r="J15" s="6" t="s">
        <v>120</v>
      </c>
      <c r="K15" s="7" t="s">
        <v>124</v>
      </c>
      <c r="L15" s="7" t="s">
        <v>125</v>
      </c>
      <c r="M15" s="6" t="s">
        <v>203</v>
      </c>
      <c r="N15" s="6" t="s">
        <v>204</v>
      </c>
      <c r="O15" s="7">
        <v>4</v>
      </c>
      <c r="P15" s="7">
        <v>56</v>
      </c>
      <c r="Q15" s="6">
        <v>3</v>
      </c>
      <c r="R15" s="7">
        <v>56</v>
      </c>
      <c r="S15" s="7">
        <v>168</v>
      </c>
      <c r="T15" s="7" t="s">
        <v>174</v>
      </c>
      <c r="U15" s="7">
        <v>5</v>
      </c>
      <c r="V15" s="7">
        <v>30</v>
      </c>
      <c r="W15" s="7">
        <v>2.5</v>
      </c>
      <c r="X15" s="7">
        <v>1.65</v>
      </c>
      <c r="Y15" s="14">
        <f t="shared" si="2"/>
        <v>4.5045000000000002</v>
      </c>
      <c r="Z15" s="12"/>
      <c r="AA15" s="16">
        <v>44826</v>
      </c>
      <c r="AB15" s="16">
        <v>45892</v>
      </c>
      <c r="AC15" s="17">
        <v>46162</v>
      </c>
      <c r="AD15" s="18">
        <f t="shared" si="3"/>
        <v>44.533333333333331</v>
      </c>
      <c r="AE15" s="17">
        <v>46262</v>
      </c>
      <c r="AF15" s="18">
        <f t="shared" ca="1" si="6"/>
        <v>5.666666666666667</v>
      </c>
      <c r="AG15" s="12">
        <f t="shared" si="4"/>
        <v>2022</v>
      </c>
      <c r="AH15" s="12">
        <f t="shared" si="5"/>
        <v>9</v>
      </c>
      <c r="AI15" s="12" t="s">
        <v>264</v>
      </c>
      <c r="AJ15" s="6" t="s">
        <v>177</v>
      </c>
      <c r="AK15" s="12"/>
      <c r="AL15" s="12"/>
      <c r="AM15" s="12" t="s">
        <v>261</v>
      </c>
    </row>
    <row r="16" spans="1:39" x14ac:dyDescent="0.35">
      <c r="B16" s="5" t="str">
        <f t="shared" si="0"/>
        <v>PR2022-Santa Lucia010 C</v>
      </c>
      <c r="C16" s="5" t="str">
        <f t="shared" si="1"/>
        <v>PR2022Santa Lucia010 C4</v>
      </c>
      <c r="D16" s="6" t="s">
        <v>266</v>
      </c>
      <c r="E16" t="s">
        <v>86</v>
      </c>
      <c r="F16" s="12" t="s">
        <v>87</v>
      </c>
      <c r="G16" t="s">
        <v>259</v>
      </c>
      <c r="H16" t="s">
        <v>259</v>
      </c>
      <c r="I16" s="6" t="s">
        <v>112</v>
      </c>
      <c r="J16" s="6" t="s">
        <v>120</v>
      </c>
      <c r="K16" s="7" t="s">
        <v>124</v>
      </c>
      <c r="L16" s="7" t="s">
        <v>126</v>
      </c>
      <c r="M16" s="6" t="s">
        <v>203</v>
      </c>
      <c r="N16" s="6" t="s">
        <v>204</v>
      </c>
      <c r="O16" s="7">
        <v>4</v>
      </c>
      <c r="P16" s="7">
        <v>196</v>
      </c>
      <c r="Q16" s="6">
        <v>3</v>
      </c>
      <c r="R16" s="7">
        <v>196</v>
      </c>
      <c r="S16" s="7">
        <v>216</v>
      </c>
      <c r="T16" s="7" t="s">
        <v>176</v>
      </c>
      <c r="U16" s="7">
        <v>2</v>
      </c>
      <c r="V16" s="7">
        <v>15</v>
      </c>
      <c r="W16" s="7">
        <v>2.5</v>
      </c>
      <c r="X16" s="7">
        <v>1.65</v>
      </c>
      <c r="Y16" s="14">
        <f t="shared" si="2"/>
        <v>1.2474000000000001</v>
      </c>
      <c r="Z16" s="12"/>
      <c r="AA16" s="16">
        <v>44831</v>
      </c>
      <c r="AB16" s="16">
        <v>45892</v>
      </c>
      <c r="AC16" s="17">
        <v>46162</v>
      </c>
      <c r="AD16" s="18">
        <f t="shared" si="3"/>
        <v>44.366666666666667</v>
      </c>
      <c r="AE16" s="17">
        <v>46262</v>
      </c>
      <c r="AF16" s="18">
        <f t="shared" ca="1" si="6"/>
        <v>5.666666666666667</v>
      </c>
      <c r="AG16" s="12">
        <f t="shared" si="4"/>
        <v>2022</v>
      </c>
      <c r="AH16" s="12">
        <f t="shared" si="5"/>
        <v>9</v>
      </c>
      <c r="AI16" s="12" t="s">
        <v>264</v>
      </c>
      <c r="AJ16" s="7" t="s">
        <v>179</v>
      </c>
      <c r="AK16" s="12"/>
      <c r="AL16" s="12"/>
      <c r="AM16" s="12" t="s">
        <v>261</v>
      </c>
    </row>
    <row r="17" spans="2:39" x14ac:dyDescent="0.35">
      <c r="B17" s="5" t="str">
        <f t="shared" si="0"/>
        <v>CC2025-Frontera10</v>
      </c>
      <c r="C17" s="5" t="str">
        <f t="shared" si="1"/>
        <v>CC2025Frontera101</v>
      </c>
      <c r="D17" s="13" t="s">
        <v>265</v>
      </c>
      <c r="E17" t="s">
        <v>82</v>
      </c>
      <c r="F17" s="12">
        <v>2025</v>
      </c>
      <c r="G17" t="s">
        <v>259</v>
      </c>
      <c r="H17" t="s">
        <v>259</v>
      </c>
      <c r="I17" s="6" t="s">
        <v>113</v>
      </c>
      <c r="J17" s="6" t="s">
        <v>116</v>
      </c>
      <c r="K17" s="7" t="s">
        <v>127</v>
      </c>
      <c r="L17" s="7">
        <v>10</v>
      </c>
      <c r="M17" s="6" t="s">
        <v>205</v>
      </c>
      <c r="N17" s="6" t="s">
        <v>206</v>
      </c>
      <c r="O17" s="7">
        <v>1</v>
      </c>
      <c r="P17" s="7">
        <v>850</v>
      </c>
      <c r="Q17" s="6">
        <v>3</v>
      </c>
      <c r="R17" s="7">
        <v>850</v>
      </c>
      <c r="S17" s="7">
        <v>850</v>
      </c>
      <c r="T17" s="7" t="s">
        <v>173</v>
      </c>
      <c r="U17" s="7">
        <v>1</v>
      </c>
      <c r="V17" s="7">
        <v>9</v>
      </c>
      <c r="W17" s="7">
        <v>2.5</v>
      </c>
      <c r="X17" s="7">
        <v>1.65</v>
      </c>
      <c r="Y17" s="14">
        <f t="shared" si="2"/>
        <v>1.6128749999999998</v>
      </c>
      <c r="Z17" s="12"/>
      <c r="AA17" s="16">
        <v>45873</v>
      </c>
      <c r="AB17" s="16"/>
      <c r="AC17" s="17">
        <v>46143</v>
      </c>
      <c r="AD17" s="18">
        <f t="shared" si="3"/>
        <v>9</v>
      </c>
      <c r="AE17" s="17">
        <v>46243</v>
      </c>
      <c r="AF17" s="18">
        <f ca="1">(TODAY()-AA17)/30</f>
        <v>6.3</v>
      </c>
      <c r="AG17" s="12">
        <f t="shared" si="4"/>
        <v>2025</v>
      </c>
      <c r="AH17" s="12">
        <f t="shared" si="5"/>
        <v>8</v>
      </c>
      <c r="AI17" s="12" t="s">
        <v>262</v>
      </c>
      <c r="AJ17" s="6" t="s">
        <v>178</v>
      </c>
      <c r="AK17" s="12"/>
      <c r="AL17" s="12"/>
      <c r="AM17" s="12" t="s">
        <v>261</v>
      </c>
    </row>
    <row r="18" spans="2:39" x14ac:dyDescent="0.35">
      <c r="B18" s="5" t="str">
        <f t="shared" si="0"/>
        <v>CC2025-Frontera10</v>
      </c>
      <c r="C18" s="5" t="str">
        <f t="shared" si="1"/>
        <v>CC2025Frontera101</v>
      </c>
      <c r="D18" s="13" t="s">
        <v>265</v>
      </c>
      <c r="E18" t="s">
        <v>78</v>
      </c>
      <c r="F18" s="12">
        <v>2022</v>
      </c>
      <c r="G18" t="s">
        <v>259</v>
      </c>
      <c r="H18" t="s">
        <v>259</v>
      </c>
      <c r="I18" s="6" t="s">
        <v>113</v>
      </c>
      <c r="J18" s="6" t="s">
        <v>116</v>
      </c>
      <c r="K18" s="7" t="s">
        <v>127</v>
      </c>
      <c r="L18" s="7">
        <v>10</v>
      </c>
      <c r="M18" s="6" t="s">
        <v>205</v>
      </c>
      <c r="N18" s="6" t="s">
        <v>206</v>
      </c>
      <c r="O18" s="7">
        <v>1</v>
      </c>
      <c r="P18" s="7">
        <v>26</v>
      </c>
      <c r="Q18" s="6">
        <v>3</v>
      </c>
      <c r="R18" s="7">
        <v>26</v>
      </c>
      <c r="S18" s="7">
        <v>26</v>
      </c>
      <c r="T18" s="7" t="s">
        <v>173</v>
      </c>
      <c r="U18" s="7">
        <v>5</v>
      </c>
      <c r="V18" s="7">
        <v>40</v>
      </c>
      <c r="W18" s="7">
        <v>2.5</v>
      </c>
      <c r="X18" s="7">
        <v>1.65</v>
      </c>
      <c r="Y18" s="14">
        <f t="shared" si="2"/>
        <v>0.91162500000000002</v>
      </c>
      <c r="Z18" s="12"/>
      <c r="AA18" s="16">
        <v>45873</v>
      </c>
      <c r="AB18" s="16"/>
      <c r="AC18" s="17">
        <v>46143</v>
      </c>
      <c r="AD18" s="18">
        <f t="shared" si="3"/>
        <v>9</v>
      </c>
      <c r="AE18" s="17">
        <v>46243</v>
      </c>
      <c r="AF18" s="18">
        <f ca="1">(TODAY()-AA18)/30</f>
        <v>6.3</v>
      </c>
      <c r="AG18" s="12">
        <f t="shared" si="4"/>
        <v>2025</v>
      </c>
      <c r="AH18" s="12">
        <f t="shared" si="5"/>
        <v>8</v>
      </c>
      <c r="AI18" s="12" t="s">
        <v>262</v>
      </c>
      <c r="AJ18" s="6" t="s">
        <v>178</v>
      </c>
      <c r="AK18" s="12"/>
      <c r="AL18" s="12"/>
      <c r="AM18" s="12" t="s">
        <v>261</v>
      </c>
    </row>
    <row r="19" spans="2:39" x14ac:dyDescent="0.35">
      <c r="B19" s="5" t="str">
        <f t="shared" si="0"/>
        <v>CC2022-Palermo210</v>
      </c>
      <c r="C19" s="5" t="str">
        <f t="shared" si="1"/>
        <v>CC2022Palermo2104</v>
      </c>
      <c r="D19" s="13" t="s">
        <v>265</v>
      </c>
      <c r="E19" t="s">
        <v>78</v>
      </c>
      <c r="F19" s="12">
        <v>2018</v>
      </c>
      <c r="G19" t="s">
        <v>259</v>
      </c>
      <c r="H19" t="s">
        <v>259</v>
      </c>
      <c r="I19" s="6" t="s">
        <v>112</v>
      </c>
      <c r="J19" s="6" t="s">
        <v>116</v>
      </c>
      <c r="K19" s="7" t="s">
        <v>119</v>
      </c>
      <c r="L19" s="7">
        <v>210</v>
      </c>
      <c r="M19" s="6" t="s">
        <v>207</v>
      </c>
      <c r="N19" s="6" t="s">
        <v>208</v>
      </c>
      <c r="O19" s="7">
        <v>4</v>
      </c>
      <c r="P19" s="7">
        <v>36</v>
      </c>
      <c r="Q19" s="6">
        <v>3</v>
      </c>
      <c r="R19" s="7">
        <v>36</v>
      </c>
      <c r="S19" s="7">
        <v>108</v>
      </c>
      <c r="T19" s="7" t="s">
        <v>172</v>
      </c>
      <c r="U19" s="7">
        <v>6</v>
      </c>
      <c r="V19" s="7">
        <v>25</v>
      </c>
      <c r="W19" s="7">
        <v>2.5</v>
      </c>
      <c r="X19" s="7">
        <v>1.65</v>
      </c>
      <c r="Y19" s="14">
        <f t="shared" si="2"/>
        <v>2.9403000000000001</v>
      </c>
      <c r="Z19" s="12"/>
      <c r="AA19" s="16">
        <v>44835</v>
      </c>
      <c r="AB19" s="16">
        <v>45873</v>
      </c>
      <c r="AC19" s="17">
        <v>46143</v>
      </c>
      <c r="AD19" s="18">
        <f t="shared" si="3"/>
        <v>43.6</v>
      </c>
      <c r="AE19" s="17">
        <v>46243</v>
      </c>
      <c r="AF19" s="18">
        <f t="shared" ca="1" si="6"/>
        <v>6.3</v>
      </c>
      <c r="AG19" s="12">
        <f t="shared" si="4"/>
        <v>2022</v>
      </c>
      <c r="AH19" s="12">
        <f t="shared" si="5"/>
        <v>10</v>
      </c>
      <c r="AI19" s="12" t="s">
        <v>262</v>
      </c>
      <c r="AJ19" s="7" t="s">
        <v>180</v>
      </c>
      <c r="AK19" s="12"/>
      <c r="AL19" s="12"/>
      <c r="AM19" s="12" t="s">
        <v>261</v>
      </c>
    </row>
    <row r="20" spans="2:39" x14ac:dyDescent="0.35">
      <c r="B20" s="5" t="str">
        <f t="shared" si="0"/>
        <v>CC2022-Palermo210</v>
      </c>
      <c r="C20" s="5" t="str">
        <f t="shared" si="1"/>
        <v>CC2022Palermo2104</v>
      </c>
      <c r="D20" s="13" t="s">
        <v>265</v>
      </c>
      <c r="E20" t="s">
        <v>82</v>
      </c>
      <c r="F20" s="12">
        <v>2022</v>
      </c>
      <c r="G20" t="s">
        <v>259</v>
      </c>
      <c r="H20" t="s">
        <v>259</v>
      </c>
      <c r="I20" s="6" t="s">
        <v>91</v>
      </c>
      <c r="J20" s="6" t="s">
        <v>116</v>
      </c>
      <c r="K20" s="7" t="s">
        <v>119</v>
      </c>
      <c r="L20" s="7">
        <v>210</v>
      </c>
      <c r="M20" s="6" t="s">
        <v>207</v>
      </c>
      <c r="N20" s="6" t="s">
        <v>208</v>
      </c>
      <c r="O20" s="7">
        <v>4</v>
      </c>
      <c r="P20" s="7">
        <v>95</v>
      </c>
      <c r="Q20" s="6">
        <v>3</v>
      </c>
      <c r="R20" s="7">
        <v>92</v>
      </c>
      <c r="S20" s="7">
        <v>95</v>
      </c>
      <c r="T20" s="7" t="s">
        <v>173</v>
      </c>
      <c r="U20" s="7">
        <v>1</v>
      </c>
      <c r="V20" s="7">
        <v>10</v>
      </c>
      <c r="W20" s="7">
        <v>2.5</v>
      </c>
      <c r="X20" s="7">
        <v>1.65</v>
      </c>
      <c r="Y20" s="14">
        <f t="shared" si="2"/>
        <v>0.19593749999999999</v>
      </c>
      <c r="Z20" s="12"/>
      <c r="AA20" s="16">
        <v>44835</v>
      </c>
      <c r="AB20" s="16">
        <v>45873</v>
      </c>
      <c r="AC20" s="17">
        <v>46143</v>
      </c>
      <c r="AD20" s="18">
        <f t="shared" si="3"/>
        <v>43.6</v>
      </c>
      <c r="AE20" s="17">
        <v>46243</v>
      </c>
      <c r="AF20" s="18">
        <f t="shared" ca="1" si="6"/>
        <v>6.3</v>
      </c>
      <c r="AG20" s="12">
        <f t="shared" si="4"/>
        <v>2022</v>
      </c>
      <c r="AH20" s="12">
        <f t="shared" si="5"/>
        <v>10</v>
      </c>
      <c r="AI20" s="12" t="s">
        <v>262</v>
      </c>
      <c r="AJ20" s="6" t="s">
        <v>178</v>
      </c>
      <c r="AK20" s="12"/>
      <c r="AL20" s="12"/>
      <c r="AM20" s="12" t="s">
        <v>261</v>
      </c>
    </row>
    <row r="21" spans="2:39" x14ac:dyDescent="0.35">
      <c r="B21" s="5" t="str">
        <f t="shared" si="0"/>
        <v>CC2022-Palermo210</v>
      </c>
      <c r="C21" s="5" t="str">
        <f t="shared" si="1"/>
        <v>CC2022Palermo2104</v>
      </c>
      <c r="D21" s="13" t="s">
        <v>265</v>
      </c>
      <c r="E21" t="s">
        <v>78</v>
      </c>
      <c r="F21" s="12">
        <v>2019</v>
      </c>
      <c r="G21" t="s">
        <v>259</v>
      </c>
      <c r="H21" t="s">
        <v>259</v>
      </c>
      <c r="I21" s="6" t="s">
        <v>91</v>
      </c>
      <c r="J21" s="6" t="s">
        <v>116</v>
      </c>
      <c r="K21" s="7" t="s">
        <v>119</v>
      </c>
      <c r="L21" s="7">
        <v>210</v>
      </c>
      <c r="M21" s="6" t="s">
        <v>207</v>
      </c>
      <c r="N21" s="6" t="s">
        <v>208</v>
      </c>
      <c r="O21" s="7">
        <v>4</v>
      </c>
      <c r="P21" s="7">
        <v>36</v>
      </c>
      <c r="Q21" s="6">
        <v>3</v>
      </c>
      <c r="R21" s="7">
        <v>36</v>
      </c>
      <c r="S21" s="7">
        <v>36</v>
      </c>
      <c r="T21" s="7" t="s">
        <v>173</v>
      </c>
      <c r="U21" s="7">
        <v>4</v>
      </c>
      <c r="V21" s="7">
        <v>15</v>
      </c>
      <c r="W21" s="7">
        <v>2.5</v>
      </c>
      <c r="X21" s="7">
        <v>1.65</v>
      </c>
      <c r="Y21" s="14">
        <f t="shared" si="2"/>
        <v>0.4158</v>
      </c>
      <c r="Z21" s="12"/>
      <c r="AA21" s="16">
        <v>44835</v>
      </c>
      <c r="AB21" s="16">
        <v>45873</v>
      </c>
      <c r="AC21" s="17">
        <v>46143</v>
      </c>
      <c r="AD21" s="18">
        <f t="shared" si="3"/>
        <v>43.6</v>
      </c>
      <c r="AE21" s="17">
        <v>46243</v>
      </c>
      <c r="AF21" s="18">
        <f t="shared" ca="1" si="6"/>
        <v>6.3</v>
      </c>
      <c r="AG21" s="12">
        <f t="shared" si="4"/>
        <v>2022</v>
      </c>
      <c r="AH21" s="12">
        <f t="shared" si="5"/>
        <v>10</v>
      </c>
      <c r="AI21" s="12" t="s">
        <v>262</v>
      </c>
      <c r="AJ21" s="6" t="s">
        <v>178</v>
      </c>
      <c r="AK21" s="12"/>
      <c r="AL21" s="12"/>
      <c r="AM21" s="12" t="s">
        <v>261</v>
      </c>
    </row>
    <row r="22" spans="2:39" x14ac:dyDescent="0.35">
      <c r="B22" s="5" t="str">
        <f t="shared" si="0"/>
        <v>PR2022-Providencia10 U</v>
      </c>
      <c r="C22" s="5" t="str">
        <f t="shared" si="1"/>
        <v>PR2022Providencia10 U4</v>
      </c>
      <c r="D22" s="13" t="s">
        <v>265</v>
      </c>
      <c r="E22" t="s">
        <v>88</v>
      </c>
      <c r="F22" s="12">
        <v>2015</v>
      </c>
      <c r="G22" t="s">
        <v>259</v>
      </c>
      <c r="H22" t="s">
        <v>259</v>
      </c>
      <c r="I22" s="7" t="s">
        <v>113</v>
      </c>
      <c r="J22" s="7" t="s">
        <v>120</v>
      </c>
      <c r="K22" s="7" t="s">
        <v>128</v>
      </c>
      <c r="L22" s="7" t="s">
        <v>129</v>
      </c>
      <c r="M22" s="6" t="s">
        <v>209</v>
      </c>
      <c r="N22" s="6" t="s">
        <v>210</v>
      </c>
      <c r="O22" s="7">
        <v>4</v>
      </c>
      <c r="P22" s="7">
        <v>20</v>
      </c>
      <c r="Q22" s="6">
        <v>3</v>
      </c>
      <c r="R22" s="7">
        <v>20</v>
      </c>
      <c r="S22" s="7">
        <v>40</v>
      </c>
      <c r="T22" s="7" t="s">
        <v>172</v>
      </c>
      <c r="U22" s="7">
        <v>5</v>
      </c>
      <c r="V22" s="7">
        <v>110</v>
      </c>
      <c r="W22" s="7">
        <v>0</v>
      </c>
      <c r="X22" s="7">
        <v>1.65</v>
      </c>
      <c r="Y22" s="14">
        <f t="shared" si="2"/>
        <v>3.63</v>
      </c>
      <c r="Z22" s="12"/>
      <c r="AA22" s="16">
        <v>44719</v>
      </c>
      <c r="AB22" s="16">
        <v>45860</v>
      </c>
      <c r="AC22" s="17">
        <v>46130</v>
      </c>
      <c r="AD22" s="18">
        <f t="shared" si="3"/>
        <v>47.033333333333331</v>
      </c>
      <c r="AE22" s="17">
        <v>46230</v>
      </c>
      <c r="AF22" s="18">
        <f t="shared" ca="1" si="6"/>
        <v>6.7333333333333334</v>
      </c>
      <c r="AG22" s="12">
        <f t="shared" si="4"/>
        <v>2022</v>
      </c>
      <c r="AH22" s="12">
        <f t="shared" si="5"/>
        <v>6</v>
      </c>
      <c r="AI22" s="12" t="s">
        <v>264</v>
      </c>
      <c r="AJ22" s="6" t="s">
        <v>181</v>
      </c>
      <c r="AK22" s="12"/>
      <c r="AL22" s="12"/>
      <c r="AM22" s="12" t="s">
        <v>261</v>
      </c>
    </row>
    <row r="23" spans="2:39" x14ac:dyDescent="0.35">
      <c r="B23" s="5" t="str">
        <f t="shared" si="0"/>
        <v>PR2021-Marsella507</v>
      </c>
      <c r="C23" s="5" t="str">
        <f t="shared" si="1"/>
        <v>PR2021Marsella5074</v>
      </c>
      <c r="D23" s="6" t="s">
        <v>89</v>
      </c>
      <c r="E23" t="s">
        <v>89</v>
      </c>
      <c r="F23" s="12" t="s">
        <v>90</v>
      </c>
      <c r="G23" t="s">
        <v>259</v>
      </c>
      <c r="H23" t="s">
        <v>260</v>
      </c>
      <c r="I23" s="6" t="s">
        <v>91</v>
      </c>
      <c r="J23" s="6" t="s">
        <v>120</v>
      </c>
      <c r="K23" s="6" t="s">
        <v>130</v>
      </c>
      <c r="L23" s="6">
        <v>507</v>
      </c>
      <c r="M23" s="6" t="s">
        <v>201</v>
      </c>
      <c r="N23" s="6" t="s">
        <v>211</v>
      </c>
      <c r="O23" s="6">
        <v>4</v>
      </c>
      <c r="P23" s="6">
        <v>45</v>
      </c>
      <c r="Q23" s="6">
        <v>3</v>
      </c>
      <c r="R23" s="6">
        <v>45</v>
      </c>
      <c r="S23" s="6">
        <v>45</v>
      </c>
      <c r="T23" s="6" t="s">
        <v>175</v>
      </c>
      <c r="U23" s="6">
        <v>2</v>
      </c>
      <c r="V23" s="6">
        <v>10</v>
      </c>
      <c r="W23" s="7">
        <v>2.5</v>
      </c>
      <c r="X23" s="7">
        <v>1.65</v>
      </c>
      <c r="Y23" s="14">
        <f t="shared" si="2"/>
        <v>0.18562500000000001</v>
      </c>
      <c r="Z23" s="12"/>
      <c r="AA23" s="15">
        <v>44489</v>
      </c>
      <c r="AB23" s="15">
        <v>45848</v>
      </c>
      <c r="AC23" s="17">
        <v>46118</v>
      </c>
      <c r="AD23" s="18">
        <f t="shared" si="3"/>
        <v>54.3</v>
      </c>
      <c r="AE23" s="17">
        <v>46218</v>
      </c>
      <c r="AF23" s="18">
        <f t="shared" ca="1" si="6"/>
        <v>7.1333333333333337</v>
      </c>
      <c r="AG23" s="12">
        <f t="shared" si="4"/>
        <v>2021</v>
      </c>
      <c r="AH23" s="12">
        <f t="shared" si="5"/>
        <v>10</v>
      </c>
      <c r="AI23" s="12" t="s">
        <v>264</v>
      </c>
      <c r="AJ23" s="6" t="s">
        <v>182</v>
      </c>
      <c r="AK23" s="12"/>
      <c r="AL23" s="12"/>
      <c r="AM23" s="12" t="s">
        <v>261</v>
      </c>
    </row>
    <row r="24" spans="2:39" x14ac:dyDescent="0.35">
      <c r="B24" s="5" t="str">
        <f t="shared" si="0"/>
        <v>PR2021-Marsella507</v>
      </c>
      <c r="C24" s="5" t="str">
        <f t="shared" si="1"/>
        <v>PR2021Marsella5074</v>
      </c>
      <c r="D24" s="13" t="s">
        <v>265</v>
      </c>
      <c r="E24" t="s">
        <v>91</v>
      </c>
      <c r="F24" s="12">
        <v>2016</v>
      </c>
      <c r="G24" t="s">
        <v>259</v>
      </c>
      <c r="H24" t="s">
        <v>260</v>
      </c>
      <c r="I24" s="6" t="s">
        <v>91</v>
      </c>
      <c r="J24" s="6" t="s">
        <v>120</v>
      </c>
      <c r="K24" s="6" t="s">
        <v>130</v>
      </c>
      <c r="L24" s="6">
        <v>507</v>
      </c>
      <c r="M24" s="6" t="s">
        <v>201</v>
      </c>
      <c r="N24" s="6" t="s">
        <v>211</v>
      </c>
      <c r="O24" s="6">
        <v>4</v>
      </c>
      <c r="P24" s="6">
        <v>14</v>
      </c>
      <c r="Q24" s="6">
        <v>3</v>
      </c>
      <c r="R24" s="6">
        <v>14</v>
      </c>
      <c r="S24" s="6">
        <v>14</v>
      </c>
      <c r="T24" s="6" t="s">
        <v>173</v>
      </c>
      <c r="U24" s="6">
        <v>1</v>
      </c>
      <c r="V24" s="6">
        <v>100</v>
      </c>
      <c r="W24" s="7">
        <v>0</v>
      </c>
      <c r="X24" s="7">
        <v>1.65</v>
      </c>
      <c r="Y24" s="14">
        <f t="shared" si="2"/>
        <v>0.23100000000000001</v>
      </c>
      <c r="Z24" s="12"/>
      <c r="AA24" s="15">
        <v>44497</v>
      </c>
      <c r="AB24" s="15">
        <v>45848</v>
      </c>
      <c r="AC24" s="17">
        <v>46118</v>
      </c>
      <c r="AD24" s="18">
        <f t="shared" si="3"/>
        <v>54.033333333333331</v>
      </c>
      <c r="AE24" s="17">
        <v>46218</v>
      </c>
      <c r="AF24" s="18">
        <f t="shared" ca="1" si="6"/>
        <v>7.1333333333333337</v>
      </c>
      <c r="AG24" s="12">
        <f t="shared" si="4"/>
        <v>2021</v>
      </c>
      <c r="AH24" s="12">
        <f t="shared" si="5"/>
        <v>10</v>
      </c>
      <c r="AI24" s="12" t="s">
        <v>264</v>
      </c>
      <c r="AJ24" s="6" t="s">
        <v>178</v>
      </c>
      <c r="AK24" s="12"/>
      <c r="AL24" s="12"/>
      <c r="AM24" s="12" t="s">
        <v>261</v>
      </c>
    </row>
    <row r="25" spans="2:39" x14ac:dyDescent="0.35">
      <c r="B25" s="5" t="str">
        <f t="shared" si="0"/>
        <v>PR2021-Marsella507</v>
      </c>
      <c r="C25" s="5" t="str">
        <f t="shared" si="1"/>
        <v>PR2021Marsella5074</v>
      </c>
      <c r="D25" s="6" t="s">
        <v>86</v>
      </c>
      <c r="E25" t="s">
        <v>86</v>
      </c>
      <c r="F25" s="12" t="s">
        <v>87</v>
      </c>
      <c r="G25" t="s">
        <v>259</v>
      </c>
      <c r="H25" t="s">
        <v>260</v>
      </c>
      <c r="I25" s="6" t="s">
        <v>91</v>
      </c>
      <c r="J25" s="6" t="s">
        <v>120</v>
      </c>
      <c r="K25" s="6" t="s">
        <v>130</v>
      </c>
      <c r="L25" s="6">
        <v>507</v>
      </c>
      <c r="M25" s="6" t="s">
        <v>201</v>
      </c>
      <c r="N25" s="6" t="s">
        <v>211</v>
      </c>
      <c r="O25" s="6">
        <v>4</v>
      </c>
      <c r="P25" s="6">
        <v>50</v>
      </c>
      <c r="Q25" s="6">
        <v>3</v>
      </c>
      <c r="R25" s="6">
        <v>50</v>
      </c>
      <c r="S25" s="6">
        <v>70</v>
      </c>
      <c r="T25" s="6" t="s">
        <v>175</v>
      </c>
      <c r="U25" s="6">
        <v>2</v>
      </c>
      <c r="V25" s="6">
        <v>20</v>
      </c>
      <c r="W25" s="7">
        <v>2.5</v>
      </c>
      <c r="X25" s="7">
        <v>1.65</v>
      </c>
      <c r="Y25" s="14">
        <f t="shared" si="2"/>
        <v>0.51975000000000005</v>
      </c>
      <c r="Z25" s="12"/>
      <c r="AA25" s="15">
        <v>44491</v>
      </c>
      <c r="AB25" s="15">
        <v>45848</v>
      </c>
      <c r="AC25" s="17">
        <v>46118</v>
      </c>
      <c r="AD25" s="18">
        <f t="shared" si="3"/>
        <v>54.233333333333334</v>
      </c>
      <c r="AE25" s="17">
        <v>46218</v>
      </c>
      <c r="AF25" s="18">
        <f t="shared" ca="1" si="6"/>
        <v>7.1333333333333337</v>
      </c>
      <c r="AG25" s="12">
        <f t="shared" si="4"/>
        <v>2021</v>
      </c>
      <c r="AH25" s="12">
        <f t="shared" si="5"/>
        <v>10</v>
      </c>
      <c r="AI25" s="12" t="s">
        <v>264</v>
      </c>
      <c r="AJ25" s="6" t="s">
        <v>183</v>
      </c>
      <c r="AK25" s="12"/>
      <c r="AL25" s="12"/>
      <c r="AM25" s="12" t="s">
        <v>261</v>
      </c>
    </row>
    <row r="26" spans="2:39" x14ac:dyDescent="0.35">
      <c r="B26" s="5" t="str">
        <f t="shared" si="0"/>
        <v>PC2024-Pichichi6</v>
      </c>
      <c r="C26" s="5" t="str">
        <f t="shared" si="1"/>
        <v>PC2024Pichichi62</v>
      </c>
      <c r="D26" s="13" t="s">
        <v>265</v>
      </c>
      <c r="E26" t="s">
        <v>78</v>
      </c>
      <c r="F26" s="12">
        <v>2020</v>
      </c>
      <c r="G26" t="s">
        <v>259</v>
      </c>
      <c r="H26" t="s">
        <v>259</v>
      </c>
      <c r="I26" s="6" t="s">
        <v>91</v>
      </c>
      <c r="J26" s="6" t="s">
        <v>131</v>
      </c>
      <c r="K26" s="7" t="s">
        <v>132</v>
      </c>
      <c r="L26" s="7">
        <v>6</v>
      </c>
      <c r="M26" s="6" t="s">
        <v>212</v>
      </c>
      <c r="N26" s="6" t="s">
        <v>213</v>
      </c>
      <c r="O26" s="7">
        <v>2</v>
      </c>
      <c r="P26" s="7">
        <v>23</v>
      </c>
      <c r="Q26" s="6">
        <v>3</v>
      </c>
      <c r="R26" s="7">
        <v>23</v>
      </c>
      <c r="S26" s="7">
        <v>23</v>
      </c>
      <c r="T26" s="7" t="s">
        <v>173</v>
      </c>
      <c r="U26" s="7">
        <v>3</v>
      </c>
      <c r="V26" s="7">
        <v>40</v>
      </c>
      <c r="W26" s="7">
        <v>2.5</v>
      </c>
      <c r="X26" s="7">
        <v>1.65</v>
      </c>
      <c r="Y26" s="14">
        <f t="shared" si="2"/>
        <v>0.48386249999999997</v>
      </c>
      <c r="Z26" s="12"/>
      <c r="AA26" s="16">
        <v>45375</v>
      </c>
      <c r="AB26" s="16">
        <v>45824</v>
      </c>
      <c r="AC26" s="17">
        <v>46094</v>
      </c>
      <c r="AD26" s="18">
        <f t="shared" si="3"/>
        <v>23.966666666666665</v>
      </c>
      <c r="AE26" s="17">
        <v>46194</v>
      </c>
      <c r="AF26" s="18">
        <f t="shared" ca="1" si="6"/>
        <v>7.9333333333333336</v>
      </c>
      <c r="AG26" s="12">
        <f t="shared" si="4"/>
        <v>2024</v>
      </c>
      <c r="AH26" s="12">
        <f t="shared" si="5"/>
        <v>3</v>
      </c>
      <c r="AI26" s="12" t="s">
        <v>262</v>
      </c>
      <c r="AJ26" s="6" t="s">
        <v>178</v>
      </c>
      <c r="AK26" s="12"/>
      <c r="AL26" s="12"/>
      <c r="AM26" s="12" t="s">
        <v>261</v>
      </c>
    </row>
    <row r="27" spans="2:39" x14ac:dyDescent="0.35">
      <c r="B27" s="5" t="str">
        <f t="shared" si="0"/>
        <v>PC2024-Pichichi6</v>
      </c>
      <c r="C27" s="5" t="str">
        <f t="shared" si="1"/>
        <v>PC2024Pichichi62</v>
      </c>
      <c r="D27" s="6" t="s">
        <v>86</v>
      </c>
      <c r="E27" t="s">
        <v>86</v>
      </c>
      <c r="F27" s="12" t="s">
        <v>87</v>
      </c>
      <c r="G27" t="s">
        <v>259</v>
      </c>
      <c r="H27" t="s">
        <v>259</v>
      </c>
      <c r="I27" s="6" t="s">
        <v>91</v>
      </c>
      <c r="J27" s="6" t="s">
        <v>131</v>
      </c>
      <c r="K27" s="7" t="s">
        <v>132</v>
      </c>
      <c r="L27" s="7">
        <v>6</v>
      </c>
      <c r="M27" s="6" t="s">
        <v>212</v>
      </c>
      <c r="N27" s="6" t="s">
        <v>213</v>
      </c>
      <c r="O27" s="7">
        <v>2</v>
      </c>
      <c r="P27" s="7">
        <v>432</v>
      </c>
      <c r="Q27" s="6">
        <v>3</v>
      </c>
      <c r="R27" s="7">
        <v>432</v>
      </c>
      <c r="S27" s="7">
        <v>432</v>
      </c>
      <c r="T27" s="7" t="s">
        <v>173</v>
      </c>
      <c r="U27" s="7">
        <v>1</v>
      </c>
      <c r="V27" s="7">
        <v>7</v>
      </c>
      <c r="W27" s="7">
        <v>2.5</v>
      </c>
      <c r="X27" s="7">
        <v>1.65</v>
      </c>
      <c r="Y27" s="14">
        <f t="shared" si="2"/>
        <v>0.67715999999999998</v>
      </c>
      <c r="Z27" s="12"/>
      <c r="AA27" s="16">
        <v>45375</v>
      </c>
      <c r="AB27" s="16">
        <v>45824</v>
      </c>
      <c r="AC27" s="17">
        <v>46094</v>
      </c>
      <c r="AD27" s="18">
        <f t="shared" si="3"/>
        <v>23.966666666666665</v>
      </c>
      <c r="AE27" s="17">
        <v>46194</v>
      </c>
      <c r="AF27" s="18">
        <f t="shared" ca="1" si="6"/>
        <v>7.9333333333333336</v>
      </c>
      <c r="AG27" s="12">
        <f t="shared" si="4"/>
        <v>2024</v>
      </c>
      <c r="AH27" s="12">
        <f t="shared" si="5"/>
        <v>3</v>
      </c>
      <c r="AI27" s="12" t="s">
        <v>262</v>
      </c>
      <c r="AJ27" s="6" t="s">
        <v>178</v>
      </c>
      <c r="AK27" s="12"/>
      <c r="AL27" s="12"/>
      <c r="AM27" s="12" t="s">
        <v>261</v>
      </c>
    </row>
    <row r="28" spans="2:39" x14ac:dyDescent="0.35">
      <c r="B28" s="5" t="str">
        <f t="shared" si="0"/>
        <v>PC2024-Pichichi6</v>
      </c>
      <c r="C28" s="5" t="str">
        <f t="shared" si="1"/>
        <v>PC2024Pichichi62</v>
      </c>
      <c r="D28" s="13" t="s">
        <v>265</v>
      </c>
      <c r="E28" t="s">
        <v>82</v>
      </c>
      <c r="F28" s="12">
        <v>2021</v>
      </c>
      <c r="G28" t="s">
        <v>259</v>
      </c>
      <c r="H28" t="s">
        <v>259</v>
      </c>
      <c r="I28" s="6" t="s">
        <v>112</v>
      </c>
      <c r="J28" s="6" t="s">
        <v>131</v>
      </c>
      <c r="K28" s="7" t="s">
        <v>132</v>
      </c>
      <c r="L28" s="7">
        <v>6</v>
      </c>
      <c r="M28" s="6" t="s">
        <v>212</v>
      </c>
      <c r="N28" s="6" t="s">
        <v>213</v>
      </c>
      <c r="O28" s="7">
        <v>2</v>
      </c>
      <c r="P28" s="7">
        <v>70</v>
      </c>
      <c r="Q28" s="6">
        <v>3</v>
      </c>
      <c r="R28" s="7">
        <v>70</v>
      </c>
      <c r="S28" s="7">
        <v>140</v>
      </c>
      <c r="T28" s="7" t="s">
        <v>174</v>
      </c>
      <c r="U28" s="7">
        <v>5</v>
      </c>
      <c r="V28" s="7">
        <v>5</v>
      </c>
      <c r="W28" s="7">
        <v>2.5</v>
      </c>
      <c r="X28" s="7">
        <v>1.65</v>
      </c>
      <c r="Y28" s="14">
        <f t="shared" si="2"/>
        <v>0.86624999999999996</v>
      </c>
      <c r="Z28" s="12"/>
      <c r="AA28" s="16">
        <v>45375</v>
      </c>
      <c r="AB28" s="16">
        <v>45824</v>
      </c>
      <c r="AC28" s="17">
        <v>46094</v>
      </c>
      <c r="AD28" s="18">
        <f t="shared" si="3"/>
        <v>23.966666666666665</v>
      </c>
      <c r="AE28" s="17">
        <v>46194</v>
      </c>
      <c r="AF28" s="18">
        <f t="shared" ca="1" si="6"/>
        <v>7.9333333333333336</v>
      </c>
      <c r="AG28" s="12">
        <f t="shared" si="4"/>
        <v>2024</v>
      </c>
      <c r="AH28" s="12">
        <f t="shared" si="5"/>
        <v>3</v>
      </c>
      <c r="AI28" s="12" t="s">
        <v>262</v>
      </c>
      <c r="AJ28" s="6" t="s">
        <v>177</v>
      </c>
      <c r="AK28" s="12"/>
      <c r="AL28" s="12"/>
      <c r="AM28" s="12" t="s">
        <v>261</v>
      </c>
    </row>
    <row r="29" spans="2:39" x14ac:dyDescent="0.35">
      <c r="B29" s="5" t="str">
        <f t="shared" si="0"/>
        <v>PC2024-Pichichi6</v>
      </c>
      <c r="C29" s="5" t="str">
        <f t="shared" si="1"/>
        <v>PC2024Pichichi62</v>
      </c>
      <c r="D29" s="13" t="s">
        <v>265</v>
      </c>
      <c r="E29" t="s">
        <v>78</v>
      </c>
      <c r="F29" s="12">
        <v>2020</v>
      </c>
      <c r="G29" t="s">
        <v>259</v>
      </c>
      <c r="H29" t="s">
        <v>259</v>
      </c>
      <c r="I29" s="6" t="s">
        <v>112</v>
      </c>
      <c r="J29" s="6" t="s">
        <v>131</v>
      </c>
      <c r="K29" s="7" t="s">
        <v>132</v>
      </c>
      <c r="L29" s="7">
        <v>6</v>
      </c>
      <c r="M29" s="6" t="s">
        <v>212</v>
      </c>
      <c r="N29" s="6" t="s">
        <v>213</v>
      </c>
      <c r="O29" s="7">
        <v>2</v>
      </c>
      <c r="P29" s="7">
        <v>24</v>
      </c>
      <c r="Q29" s="6">
        <v>3</v>
      </c>
      <c r="R29" s="7">
        <v>24</v>
      </c>
      <c r="S29" s="7">
        <v>72</v>
      </c>
      <c r="T29" s="7" t="s">
        <v>174</v>
      </c>
      <c r="U29" s="7">
        <v>5</v>
      </c>
      <c r="V29" s="7">
        <v>40</v>
      </c>
      <c r="W29" s="7">
        <v>2.5</v>
      </c>
      <c r="X29" s="7">
        <v>1.65</v>
      </c>
      <c r="Y29" s="14">
        <f t="shared" si="2"/>
        <v>2.5245000000000002</v>
      </c>
      <c r="Z29" s="12"/>
      <c r="AA29" s="16">
        <v>45375</v>
      </c>
      <c r="AB29" s="16">
        <v>45824</v>
      </c>
      <c r="AC29" s="17">
        <v>46094</v>
      </c>
      <c r="AD29" s="18">
        <f t="shared" si="3"/>
        <v>23.966666666666665</v>
      </c>
      <c r="AE29" s="17">
        <v>46194</v>
      </c>
      <c r="AF29" s="18">
        <f t="shared" ca="1" si="6"/>
        <v>7.9333333333333336</v>
      </c>
      <c r="AG29" s="12">
        <f t="shared" si="4"/>
        <v>2024</v>
      </c>
      <c r="AH29" s="12">
        <f t="shared" si="5"/>
        <v>3</v>
      </c>
      <c r="AI29" s="12" t="s">
        <v>262</v>
      </c>
      <c r="AJ29" s="6" t="s">
        <v>177</v>
      </c>
      <c r="AK29" s="12"/>
      <c r="AL29" s="12"/>
      <c r="AM29" s="12" t="s">
        <v>261</v>
      </c>
    </row>
    <row r="30" spans="2:39" x14ac:dyDescent="0.35">
      <c r="B30" s="5" t="str">
        <f t="shared" si="0"/>
        <v>RS2025-Fatima15</v>
      </c>
      <c r="C30" s="5" t="str">
        <f t="shared" si="1"/>
        <v>RS2025Fatima151</v>
      </c>
      <c r="D30" s="13" t="s">
        <v>265</v>
      </c>
      <c r="E30" t="s">
        <v>78</v>
      </c>
      <c r="F30" s="12" t="s">
        <v>92</v>
      </c>
      <c r="G30" t="s">
        <v>259</v>
      </c>
      <c r="H30" t="s">
        <v>259</v>
      </c>
      <c r="I30" s="6" t="s">
        <v>112</v>
      </c>
      <c r="J30" s="6" t="s">
        <v>133</v>
      </c>
      <c r="K30" s="7" t="s">
        <v>134</v>
      </c>
      <c r="L30" s="7">
        <v>15</v>
      </c>
      <c r="M30" s="6" t="s">
        <v>214</v>
      </c>
      <c r="N30" s="6" t="s">
        <v>215</v>
      </c>
      <c r="O30" s="7">
        <v>1</v>
      </c>
      <c r="P30" s="7">
        <v>40</v>
      </c>
      <c r="Q30" s="6">
        <v>3</v>
      </c>
      <c r="R30" s="7">
        <v>40</v>
      </c>
      <c r="S30" s="7">
        <v>120</v>
      </c>
      <c r="T30" s="7" t="s">
        <v>174</v>
      </c>
      <c r="U30" s="7">
        <v>5</v>
      </c>
      <c r="V30" s="7">
        <v>40</v>
      </c>
      <c r="W30" s="7">
        <v>2.7</v>
      </c>
      <c r="X30" s="7">
        <v>1.65</v>
      </c>
      <c r="Y30" s="14">
        <f t="shared" si="2"/>
        <v>4.2272999999999996</v>
      </c>
      <c r="Z30" s="12"/>
      <c r="AA30" s="16">
        <v>45822</v>
      </c>
      <c r="AB30" s="16"/>
      <c r="AC30" s="17">
        <v>46092</v>
      </c>
      <c r="AD30" s="18">
        <f t="shared" si="3"/>
        <v>9</v>
      </c>
      <c r="AE30" s="17">
        <v>46192</v>
      </c>
      <c r="AF30" s="18">
        <f ca="1">(TODAY()-AA30)/30</f>
        <v>8</v>
      </c>
      <c r="AG30" s="12">
        <f t="shared" si="4"/>
        <v>2025</v>
      </c>
      <c r="AH30" s="12">
        <f t="shared" si="5"/>
        <v>6</v>
      </c>
      <c r="AI30" s="12" t="s">
        <v>262</v>
      </c>
      <c r="AJ30" s="6" t="s">
        <v>177</v>
      </c>
      <c r="AK30" s="12"/>
      <c r="AL30" s="12"/>
      <c r="AM30" s="12" t="s">
        <v>261</v>
      </c>
    </row>
    <row r="31" spans="2:39" x14ac:dyDescent="0.35">
      <c r="B31" s="5" t="str">
        <f t="shared" si="0"/>
        <v>RP2024-Valparaiso234</v>
      </c>
      <c r="C31" s="5" t="str">
        <f t="shared" si="1"/>
        <v>RP2024Valparaiso2342</v>
      </c>
      <c r="D31" s="13" t="s">
        <v>265</v>
      </c>
      <c r="E31" t="s">
        <v>78</v>
      </c>
      <c r="F31" s="12">
        <v>2020</v>
      </c>
      <c r="G31" t="s">
        <v>259</v>
      </c>
      <c r="H31" t="s">
        <v>259</v>
      </c>
      <c r="I31" t="s">
        <v>91</v>
      </c>
      <c r="J31" s="6" t="s">
        <v>135</v>
      </c>
      <c r="K31" s="7" t="s">
        <v>136</v>
      </c>
      <c r="L31" s="7">
        <v>234</v>
      </c>
      <c r="M31" s="6" t="s">
        <v>216</v>
      </c>
      <c r="N31" s="6" t="s">
        <v>217</v>
      </c>
      <c r="O31" s="7">
        <v>2</v>
      </c>
      <c r="P31" s="7">
        <v>24</v>
      </c>
      <c r="Q31" s="6">
        <v>3</v>
      </c>
      <c r="R31" s="7">
        <v>24</v>
      </c>
      <c r="S31" s="7">
        <v>20</v>
      </c>
      <c r="T31" s="7" t="s">
        <v>173</v>
      </c>
      <c r="U31" s="7">
        <v>3</v>
      </c>
      <c r="V31" s="7">
        <v>20</v>
      </c>
      <c r="W31" s="7">
        <v>2.5</v>
      </c>
      <c r="X31" s="7">
        <v>1.65</v>
      </c>
      <c r="Y31" s="14">
        <f t="shared" si="2"/>
        <v>0.22275</v>
      </c>
      <c r="Z31" s="12"/>
      <c r="AA31" s="17">
        <v>45401</v>
      </c>
      <c r="AB31" s="16">
        <v>45820</v>
      </c>
      <c r="AC31" s="17">
        <v>46090</v>
      </c>
      <c r="AD31" s="18">
        <f t="shared" si="3"/>
        <v>22.966666666666665</v>
      </c>
      <c r="AE31" s="17">
        <v>46190</v>
      </c>
      <c r="AF31" s="18">
        <f t="shared" ca="1" si="6"/>
        <v>8.0666666666666664</v>
      </c>
      <c r="AG31" s="12">
        <f t="shared" si="4"/>
        <v>2024</v>
      </c>
      <c r="AH31" s="12">
        <f t="shared" si="5"/>
        <v>4</v>
      </c>
      <c r="AI31" s="12" t="s">
        <v>262</v>
      </c>
      <c r="AJ31" s="6" t="s">
        <v>178</v>
      </c>
      <c r="AK31" s="12"/>
      <c r="AL31" s="12"/>
      <c r="AM31" s="12" t="s">
        <v>261</v>
      </c>
    </row>
    <row r="32" spans="2:39" x14ac:dyDescent="0.35">
      <c r="B32" s="5" t="str">
        <f t="shared" si="0"/>
        <v>RP2024-Valparaiso234</v>
      </c>
      <c r="C32" s="5" t="str">
        <f t="shared" si="1"/>
        <v>RP2024Valparaiso2342</v>
      </c>
      <c r="D32" s="13" t="s">
        <v>265</v>
      </c>
      <c r="E32" t="s">
        <v>78</v>
      </c>
      <c r="F32" s="12">
        <v>2020</v>
      </c>
      <c r="G32" t="s">
        <v>259</v>
      </c>
      <c r="H32" t="s">
        <v>259</v>
      </c>
      <c r="I32" t="s">
        <v>114</v>
      </c>
      <c r="J32" s="6" t="s">
        <v>135</v>
      </c>
      <c r="K32" s="7" t="s">
        <v>136</v>
      </c>
      <c r="L32" s="7">
        <v>234</v>
      </c>
      <c r="M32" s="6" t="s">
        <v>216</v>
      </c>
      <c r="N32" s="6" t="s">
        <v>217</v>
      </c>
      <c r="O32" s="7">
        <v>2</v>
      </c>
      <c r="P32" s="7">
        <v>24</v>
      </c>
      <c r="Q32" s="6">
        <v>3</v>
      </c>
      <c r="R32" s="7">
        <v>24</v>
      </c>
      <c r="S32" s="7">
        <v>72</v>
      </c>
      <c r="T32" s="7" t="s">
        <v>174</v>
      </c>
      <c r="U32" s="7">
        <v>5</v>
      </c>
      <c r="V32" s="7">
        <v>40</v>
      </c>
      <c r="W32" s="7">
        <v>2.5</v>
      </c>
      <c r="X32" s="7">
        <v>1.65</v>
      </c>
      <c r="Y32" s="14">
        <f t="shared" si="2"/>
        <v>2.5245000000000002</v>
      </c>
      <c r="Z32" s="12"/>
      <c r="AA32" s="17">
        <v>45401</v>
      </c>
      <c r="AB32" s="16">
        <v>45820</v>
      </c>
      <c r="AC32" s="17">
        <v>46090</v>
      </c>
      <c r="AD32" s="18">
        <f t="shared" si="3"/>
        <v>22.966666666666665</v>
      </c>
      <c r="AE32" s="17">
        <v>46190</v>
      </c>
      <c r="AF32" s="18">
        <f t="shared" ca="1" si="6"/>
        <v>8.0666666666666664</v>
      </c>
      <c r="AG32" s="12">
        <f t="shared" si="4"/>
        <v>2024</v>
      </c>
      <c r="AH32" s="12">
        <f t="shared" si="5"/>
        <v>4</v>
      </c>
      <c r="AI32" s="12" t="s">
        <v>262</v>
      </c>
      <c r="AJ32" s="6" t="s">
        <v>177</v>
      </c>
      <c r="AK32" s="12"/>
      <c r="AL32" s="12"/>
      <c r="AM32" s="12" t="s">
        <v>261</v>
      </c>
    </row>
    <row r="33" spans="2:39" x14ac:dyDescent="0.35">
      <c r="B33" s="5" t="str">
        <f t="shared" si="0"/>
        <v>MN2022-Cabaña62A</v>
      </c>
      <c r="C33" s="5" t="str">
        <f t="shared" si="1"/>
        <v>MN2022Cabaña62A4</v>
      </c>
      <c r="D33" s="13" t="s">
        <v>265</v>
      </c>
      <c r="E33" t="s">
        <v>78</v>
      </c>
      <c r="F33" s="12">
        <v>2017</v>
      </c>
      <c r="G33" t="s">
        <v>259</v>
      </c>
      <c r="H33" t="s">
        <v>259</v>
      </c>
      <c r="I33" s="6" t="s">
        <v>112</v>
      </c>
      <c r="J33" s="6" t="s">
        <v>137</v>
      </c>
      <c r="K33" s="6" t="s">
        <v>138</v>
      </c>
      <c r="L33" s="6" t="s">
        <v>139</v>
      </c>
      <c r="M33" s="6" t="s">
        <v>218</v>
      </c>
      <c r="N33" s="6" t="s">
        <v>219</v>
      </c>
      <c r="O33" s="6">
        <v>4</v>
      </c>
      <c r="P33" s="6">
        <v>33</v>
      </c>
      <c r="Q33" s="6">
        <v>3</v>
      </c>
      <c r="R33" s="6">
        <v>33</v>
      </c>
      <c r="S33" s="6">
        <v>45</v>
      </c>
      <c r="T33" s="6" t="s">
        <v>175</v>
      </c>
      <c r="U33" s="6">
        <v>5</v>
      </c>
      <c r="V33" s="6">
        <v>40</v>
      </c>
      <c r="W33" s="7">
        <v>2.5</v>
      </c>
      <c r="X33" s="7">
        <v>1.65</v>
      </c>
      <c r="Y33" s="14">
        <f t="shared" si="2"/>
        <v>1.5778125000000001</v>
      </c>
      <c r="Z33" s="12"/>
      <c r="AA33" s="15">
        <v>44587</v>
      </c>
      <c r="AB33" s="15">
        <v>45750</v>
      </c>
      <c r="AC33" s="17">
        <v>46020</v>
      </c>
      <c r="AD33" s="18">
        <f t="shared" si="3"/>
        <v>47.766666666666666</v>
      </c>
      <c r="AE33" s="17">
        <v>46120</v>
      </c>
      <c r="AF33" s="18">
        <f t="shared" ca="1" si="6"/>
        <v>10.4</v>
      </c>
      <c r="AG33" s="12">
        <f t="shared" si="4"/>
        <v>2022</v>
      </c>
      <c r="AH33" s="12">
        <f t="shared" si="5"/>
        <v>1</v>
      </c>
      <c r="AI33" s="12" t="s">
        <v>264</v>
      </c>
      <c r="AJ33" s="6" t="s">
        <v>184</v>
      </c>
      <c r="AK33" s="12"/>
      <c r="AL33" s="12"/>
      <c r="AM33" s="12" t="s">
        <v>261</v>
      </c>
    </row>
    <row r="34" spans="2:39" x14ac:dyDescent="0.35">
      <c r="B34" s="5" t="str">
        <f t="shared" si="0"/>
        <v>RP2023-Abejones80</v>
      </c>
      <c r="C34" s="5" t="str">
        <f t="shared" si="1"/>
        <v>RP2023Abejones803</v>
      </c>
      <c r="D34" s="13" t="s">
        <v>265</v>
      </c>
      <c r="E34" t="s">
        <v>78</v>
      </c>
      <c r="F34" s="12">
        <v>2018</v>
      </c>
      <c r="G34" t="s">
        <v>259</v>
      </c>
      <c r="H34" t="s">
        <v>259</v>
      </c>
      <c r="I34" s="6" t="s">
        <v>112</v>
      </c>
      <c r="J34" s="6" t="s">
        <v>135</v>
      </c>
      <c r="K34" s="7" t="s">
        <v>140</v>
      </c>
      <c r="L34" s="7">
        <v>80</v>
      </c>
      <c r="M34" s="6" t="s">
        <v>220</v>
      </c>
      <c r="N34" s="6" t="s">
        <v>196</v>
      </c>
      <c r="O34" s="7">
        <v>3</v>
      </c>
      <c r="P34" s="7">
        <v>36</v>
      </c>
      <c r="Q34" s="6">
        <v>3</v>
      </c>
      <c r="R34" s="7">
        <v>36</v>
      </c>
      <c r="S34" s="7">
        <v>108</v>
      </c>
      <c r="T34" s="7" t="s">
        <v>174</v>
      </c>
      <c r="U34" s="7">
        <v>5</v>
      </c>
      <c r="V34" s="7">
        <v>40</v>
      </c>
      <c r="W34" s="7">
        <v>2.5</v>
      </c>
      <c r="X34" s="7">
        <v>1.65</v>
      </c>
      <c r="Y34" s="14">
        <f t="shared" si="2"/>
        <v>3.7867500000000001</v>
      </c>
      <c r="Z34" s="12"/>
      <c r="AA34" s="16">
        <v>44982</v>
      </c>
      <c r="AB34" s="16">
        <v>45747</v>
      </c>
      <c r="AC34" s="17">
        <v>46017</v>
      </c>
      <c r="AD34" s="18">
        <f t="shared" si="3"/>
        <v>34.5</v>
      </c>
      <c r="AE34" s="17">
        <v>46117</v>
      </c>
      <c r="AF34" s="18">
        <f t="shared" ca="1" si="6"/>
        <v>10.5</v>
      </c>
      <c r="AG34" s="12">
        <f t="shared" si="4"/>
        <v>2023</v>
      </c>
      <c r="AH34" s="12">
        <f t="shared" si="5"/>
        <v>2</v>
      </c>
      <c r="AI34" s="12" t="s">
        <v>263</v>
      </c>
      <c r="AJ34" s="6" t="s">
        <v>177</v>
      </c>
      <c r="AK34" s="12"/>
      <c r="AL34" s="12"/>
      <c r="AM34" s="12" t="s">
        <v>261</v>
      </c>
    </row>
    <row r="35" spans="2:39" x14ac:dyDescent="0.35">
      <c r="B35" s="5" t="str">
        <f t="shared" si="0"/>
        <v>CB2023-La Industria4</v>
      </c>
      <c r="C35" s="5" t="str">
        <f t="shared" si="1"/>
        <v>CB2023La Industria43</v>
      </c>
      <c r="D35" s="13" t="s">
        <v>265</v>
      </c>
      <c r="E35" t="s">
        <v>82</v>
      </c>
      <c r="F35" s="12">
        <v>2021</v>
      </c>
      <c r="G35" t="s">
        <v>259</v>
      </c>
      <c r="H35" t="s">
        <v>259</v>
      </c>
      <c r="I35" s="6" t="s">
        <v>91</v>
      </c>
      <c r="J35" s="6" t="s">
        <v>141</v>
      </c>
      <c r="K35" s="7" t="s">
        <v>142</v>
      </c>
      <c r="L35" s="7">
        <v>4</v>
      </c>
      <c r="M35" s="6" t="s">
        <v>221</v>
      </c>
      <c r="N35" s="6" t="s">
        <v>222</v>
      </c>
      <c r="O35" s="7">
        <v>3</v>
      </c>
      <c r="P35" s="7">
        <v>140</v>
      </c>
      <c r="Q35" s="6">
        <v>3</v>
      </c>
      <c r="R35" s="7">
        <v>140</v>
      </c>
      <c r="S35" s="7">
        <v>156</v>
      </c>
      <c r="T35" s="6" t="s">
        <v>175</v>
      </c>
      <c r="U35" s="7">
        <v>3</v>
      </c>
      <c r="V35" s="7">
        <v>12</v>
      </c>
      <c r="W35" s="7">
        <v>2.5</v>
      </c>
      <c r="X35" s="7">
        <v>1.65</v>
      </c>
      <c r="Y35" s="14">
        <f t="shared" si="2"/>
        <v>1.1196899999999999</v>
      </c>
      <c r="Z35" s="12"/>
      <c r="AA35" s="16">
        <v>45008</v>
      </c>
      <c r="AB35" s="16">
        <v>45741</v>
      </c>
      <c r="AC35" s="17">
        <v>46011</v>
      </c>
      <c r="AD35" s="18">
        <f t="shared" si="3"/>
        <v>33.43333333333333</v>
      </c>
      <c r="AE35" s="17">
        <v>46111</v>
      </c>
      <c r="AF35" s="18">
        <f t="shared" ca="1" si="6"/>
        <v>10.7</v>
      </c>
      <c r="AG35" s="12">
        <f t="shared" si="4"/>
        <v>2023</v>
      </c>
      <c r="AH35" s="12">
        <f t="shared" si="5"/>
        <v>3</v>
      </c>
      <c r="AI35" s="12" t="s">
        <v>262</v>
      </c>
      <c r="AJ35" s="6" t="s">
        <v>178</v>
      </c>
      <c r="AK35" s="12"/>
      <c r="AL35" s="12"/>
      <c r="AM35" s="12" t="s">
        <v>261</v>
      </c>
    </row>
    <row r="36" spans="2:39" x14ac:dyDescent="0.35">
      <c r="B36" s="5" t="str">
        <f t="shared" si="0"/>
        <v>PR2021-Piedechinche43</v>
      </c>
      <c r="C36" s="5" t="str">
        <f t="shared" si="1"/>
        <v>PR2021Piedechinche434</v>
      </c>
      <c r="D36" s="13" t="s">
        <v>265</v>
      </c>
      <c r="E36" t="s">
        <v>93</v>
      </c>
      <c r="F36" s="12">
        <v>2014</v>
      </c>
      <c r="G36" t="s">
        <v>259</v>
      </c>
      <c r="H36" t="s">
        <v>259</v>
      </c>
      <c r="I36" s="6" t="s">
        <v>112</v>
      </c>
      <c r="J36" s="6" t="s">
        <v>120</v>
      </c>
      <c r="K36" s="6" t="s">
        <v>143</v>
      </c>
      <c r="L36" s="6">
        <v>43</v>
      </c>
      <c r="M36" s="6" t="s">
        <v>223</v>
      </c>
      <c r="N36" s="6" t="s">
        <v>224</v>
      </c>
      <c r="O36" s="6">
        <v>4</v>
      </c>
      <c r="P36" s="6">
        <v>28</v>
      </c>
      <c r="Q36" s="6">
        <v>3</v>
      </c>
      <c r="R36" s="6">
        <v>28</v>
      </c>
      <c r="S36" s="6">
        <v>84</v>
      </c>
      <c r="T36" s="6" t="s">
        <v>172</v>
      </c>
      <c r="U36" s="6">
        <v>5</v>
      </c>
      <c r="V36" s="6">
        <v>100</v>
      </c>
      <c r="W36" s="7">
        <v>0</v>
      </c>
      <c r="X36" s="7">
        <v>1.65</v>
      </c>
      <c r="Y36" s="14">
        <f t="shared" si="2"/>
        <v>6.93</v>
      </c>
      <c r="Z36" s="12"/>
      <c r="AA36" s="15">
        <v>44253</v>
      </c>
      <c r="AB36" s="15">
        <v>45736</v>
      </c>
      <c r="AC36" s="17">
        <v>46006</v>
      </c>
      <c r="AD36" s="18">
        <f t="shared" si="3"/>
        <v>58.43333333333333</v>
      </c>
      <c r="AE36" s="17">
        <v>46106</v>
      </c>
      <c r="AF36" s="18">
        <f ca="1">(TODAY()-AB36)/30</f>
        <v>10.866666666666667</v>
      </c>
      <c r="AG36" s="12">
        <f t="shared" si="4"/>
        <v>2021</v>
      </c>
      <c r="AH36" s="12">
        <f t="shared" si="5"/>
        <v>2</v>
      </c>
      <c r="AI36" s="12" t="s">
        <v>264</v>
      </c>
      <c r="AJ36" s="6" t="s">
        <v>185</v>
      </c>
      <c r="AK36" s="12"/>
      <c r="AL36" s="12"/>
      <c r="AM36" s="12" t="s">
        <v>261</v>
      </c>
    </row>
    <row r="37" spans="2:39" x14ac:dyDescent="0.35">
      <c r="B37" s="5" t="str">
        <f t="shared" si="0"/>
        <v>CA2025-Egipto16A</v>
      </c>
      <c r="C37" s="5" t="str">
        <f t="shared" si="1"/>
        <v>CA2025Egipto16A1</v>
      </c>
      <c r="D37" s="13" t="s">
        <v>265</v>
      </c>
      <c r="E37" t="s">
        <v>94</v>
      </c>
      <c r="F37" s="12" t="s">
        <v>95</v>
      </c>
      <c r="G37" t="s">
        <v>259</v>
      </c>
      <c r="H37" t="s">
        <v>101</v>
      </c>
      <c r="I37" s="6" t="s">
        <v>91</v>
      </c>
      <c r="J37" s="6" t="s">
        <v>144</v>
      </c>
      <c r="K37" s="7" t="s">
        <v>145</v>
      </c>
      <c r="L37" s="7" t="s">
        <v>146</v>
      </c>
      <c r="M37" s="6" t="s">
        <v>225</v>
      </c>
      <c r="N37" s="6" t="s">
        <v>226</v>
      </c>
      <c r="O37" s="7">
        <v>1</v>
      </c>
      <c r="P37" s="7">
        <v>21</v>
      </c>
      <c r="Q37" s="6">
        <v>3</v>
      </c>
      <c r="R37" s="7">
        <v>21</v>
      </c>
      <c r="S37" s="7">
        <v>21</v>
      </c>
      <c r="T37" s="7" t="s">
        <v>173</v>
      </c>
      <c r="U37" s="7">
        <v>4</v>
      </c>
      <c r="V37" s="7">
        <v>50</v>
      </c>
      <c r="W37" s="7">
        <v>2.5</v>
      </c>
      <c r="X37" s="7">
        <v>1.65</v>
      </c>
      <c r="Y37" s="14">
        <f t="shared" si="2"/>
        <v>0.72765000000000002</v>
      </c>
      <c r="Z37" s="12"/>
      <c r="AA37" s="16">
        <v>45729</v>
      </c>
      <c r="AB37" s="12"/>
      <c r="AC37" s="17">
        <v>45999</v>
      </c>
      <c r="AD37" s="18">
        <f t="shared" si="3"/>
        <v>9</v>
      </c>
      <c r="AE37" s="17">
        <v>46099</v>
      </c>
      <c r="AF37" s="18">
        <f ca="1">(TODAY()-AA37)/30</f>
        <v>11.1</v>
      </c>
      <c r="AG37" s="12">
        <f t="shared" si="4"/>
        <v>2025</v>
      </c>
      <c r="AH37" s="12">
        <f t="shared" si="5"/>
        <v>3</v>
      </c>
      <c r="AI37" s="12" t="s">
        <v>264</v>
      </c>
      <c r="AJ37" s="6" t="s">
        <v>178</v>
      </c>
      <c r="AK37" s="12"/>
      <c r="AL37" s="12"/>
      <c r="AM37" s="12" t="s">
        <v>261</v>
      </c>
    </row>
    <row r="38" spans="2:39" x14ac:dyDescent="0.35">
      <c r="B38" s="5" t="str">
        <f t="shared" si="0"/>
        <v>CA2025-Egipto16A</v>
      </c>
      <c r="C38" s="5" t="str">
        <f t="shared" si="1"/>
        <v>CA2025Egipto16A1</v>
      </c>
      <c r="D38" s="13" t="s">
        <v>265</v>
      </c>
      <c r="E38" t="s">
        <v>94</v>
      </c>
      <c r="F38" s="12" t="s">
        <v>96</v>
      </c>
      <c r="G38" t="s">
        <v>259</v>
      </c>
      <c r="H38" t="s">
        <v>101</v>
      </c>
      <c r="I38" s="6" t="s">
        <v>91</v>
      </c>
      <c r="J38" s="6" t="s">
        <v>144</v>
      </c>
      <c r="K38" s="7" t="s">
        <v>145</v>
      </c>
      <c r="L38" s="7" t="s">
        <v>146</v>
      </c>
      <c r="M38" s="6" t="s">
        <v>225</v>
      </c>
      <c r="N38" s="6" t="s">
        <v>226</v>
      </c>
      <c r="O38" s="7">
        <v>1</v>
      </c>
      <c r="P38" s="7">
        <v>116</v>
      </c>
      <c r="Q38" s="6">
        <v>3</v>
      </c>
      <c r="R38" s="7">
        <v>116</v>
      </c>
      <c r="S38" s="7">
        <v>116</v>
      </c>
      <c r="T38" s="7" t="s">
        <v>173</v>
      </c>
      <c r="U38" s="7">
        <v>1</v>
      </c>
      <c r="V38" s="7">
        <v>8</v>
      </c>
      <c r="W38" s="7">
        <v>2.5</v>
      </c>
      <c r="X38" s="7">
        <v>1.65</v>
      </c>
      <c r="Y38" s="14">
        <f t="shared" si="2"/>
        <v>0.20096999999999998</v>
      </c>
      <c r="Z38" s="12"/>
      <c r="AA38" s="16">
        <v>45729</v>
      </c>
      <c r="AB38" s="12"/>
      <c r="AC38" s="17">
        <v>45999</v>
      </c>
      <c r="AD38" s="18">
        <f t="shared" si="3"/>
        <v>9</v>
      </c>
      <c r="AE38" s="17">
        <v>46099</v>
      </c>
      <c r="AF38" s="18">
        <f t="shared" ref="AF38:AF42" ca="1" si="7">(TODAY()-AA38)/30</f>
        <v>11.1</v>
      </c>
      <c r="AG38" s="12">
        <f t="shared" si="4"/>
        <v>2025</v>
      </c>
      <c r="AH38" s="12">
        <f t="shared" si="5"/>
        <v>3</v>
      </c>
      <c r="AI38" s="12" t="s">
        <v>264</v>
      </c>
      <c r="AJ38" s="6" t="s">
        <v>178</v>
      </c>
      <c r="AK38" s="12"/>
      <c r="AL38" s="12"/>
      <c r="AM38" s="12" t="s">
        <v>261</v>
      </c>
    </row>
    <row r="39" spans="2:39" x14ac:dyDescent="0.35">
      <c r="B39" s="5" t="str">
        <f t="shared" si="0"/>
        <v>CA2025-Egipto16A</v>
      </c>
      <c r="C39" s="5" t="str">
        <f t="shared" si="1"/>
        <v>CA2025Egipto16A1</v>
      </c>
      <c r="D39" s="13" t="s">
        <v>265</v>
      </c>
      <c r="E39" t="s">
        <v>94</v>
      </c>
      <c r="F39" s="12" t="s">
        <v>97</v>
      </c>
      <c r="G39" t="s">
        <v>259</v>
      </c>
      <c r="H39" t="s">
        <v>101</v>
      </c>
      <c r="I39" s="6" t="s">
        <v>91</v>
      </c>
      <c r="J39" s="6" t="s">
        <v>144</v>
      </c>
      <c r="K39" s="7" t="s">
        <v>145</v>
      </c>
      <c r="L39" s="7" t="s">
        <v>146</v>
      </c>
      <c r="M39" s="6" t="s">
        <v>225</v>
      </c>
      <c r="N39" s="6" t="s">
        <v>226</v>
      </c>
      <c r="O39" s="7">
        <v>1</v>
      </c>
      <c r="P39" s="7">
        <v>292</v>
      </c>
      <c r="Q39" s="6">
        <v>3</v>
      </c>
      <c r="R39" s="7">
        <v>292</v>
      </c>
      <c r="S39" s="7">
        <v>292</v>
      </c>
      <c r="T39" s="7" t="s">
        <v>173</v>
      </c>
      <c r="U39" s="7">
        <v>2</v>
      </c>
      <c r="V39" s="7">
        <v>12</v>
      </c>
      <c r="W39" s="7">
        <v>2.5</v>
      </c>
      <c r="X39" s="7">
        <v>1.65</v>
      </c>
      <c r="Y39" s="14">
        <f t="shared" si="2"/>
        <v>1.3972199999999999</v>
      </c>
      <c r="Z39" s="12"/>
      <c r="AA39" s="16">
        <v>45723</v>
      </c>
      <c r="AB39" s="12"/>
      <c r="AC39" s="17">
        <v>45993</v>
      </c>
      <c r="AD39" s="18">
        <f t="shared" si="3"/>
        <v>9</v>
      </c>
      <c r="AE39" s="17">
        <v>46093</v>
      </c>
      <c r="AF39" s="18">
        <f t="shared" ca="1" si="7"/>
        <v>11.3</v>
      </c>
      <c r="AG39" s="12">
        <f t="shared" si="4"/>
        <v>2025</v>
      </c>
      <c r="AH39" s="12">
        <f t="shared" si="5"/>
        <v>3</v>
      </c>
      <c r="AI39" s="12" t="s">
        <v>264</v>
      </c>
      <c r="AJ39" s="6" t="s">
        <v>178</v>
      </c>
      <c r="AK39" s="12"/>
      <c r="AL39" s="12"/>
      <c r="AM39" s="12" t="s">
        <v>261</v>
      </c>
    </row>
    <row r="40" spans="2:39" x14ac:dyDescent="0.35">
      <c r="B40" s="5" t="str">
        <f t="shared" si="0"/>
        <v>CA2025-Egipto16A</v>
      </c>
      <c r="C40" s="5" t="str">
        <f t="shared" si="1"/>
        <v>CA2025Egipto16A1</v>
      </c>
      <c r="D40" s="13" t="s">
        <v>265</v>
      </c>
      <c r="E40" t="s">
        <v>94</v>
      </c>
      <c r="F40" s="12" t="s">
        <v>98</v>
      </c>
      <c r="G40" t="s">
        <v>259</v>
      </c>
      <c r="H40" t="s">
        <v>101</v>
      </c>
      <c r="I40" s="6" t="s">
        <v>91</v>
      </c>
      <c r="J40" s="6" t="s">
        <v>144</v>
      </c>
      <c r="K40" s="7" t="s">
        <v>145</v>
      </c>
      <c r="L40" s="7" t="s">
        <v>146</v>
      </c>
      <c r="M40" s="6" t="s">
        <v>225</v>
      </c>
      <c r="N40" s="6" t="s">
        <v>226</v>
      </c>
      <c r="O40" s="7">
        <v>1</v>
      </c>
      <c r="P40" s="7">
        <v>37</v>
      </c>
      <c r="Q40" s="6">
        <v>3</v>
      </c>
      <c r="R40" s="7">
        <v>37</v>
      </c>
      <c r="S40" s="7">
        <v>37</v>
      </c>
      <c r="T40" s="7" t="s">
        <v>173</v>
      </c>
      <c r="U40" s="7">
        <v>4</v>
      </c>
      <c r="V40" s="7">
        <v>20</v>
      </c>
      <c r="W40" s="7">
        <v>2.5</v>
      </c>
      <c r="X40" s="7">
        <v>1.65</v>
      </c>
      <c r="Y40" s="14">
        <f t="shared" si="2"/>
        <v>0.54944999999999999</v>
      </c>
      <c r="Z40" s="12"/>
      <c r="AA40" s="16">
        <v>45716</v>
      </c>
      <c r="AB40" s="12"/>
      <c r="AC40" s="17">
        <v>45986</v>
      </c>
      <c r="AD40" s="18">
        <f t="shared" si="3"/>
        <v>9</v>
      </c>
      <c r="AE40" s="17">
        <v>46086</v>
      </c>
      <c r="AF40" s="18">
        <f t="shared" ca="1" si="7"/>
        <v>11.533333333333333</v>
      </c>
      <c r="AG40" s="12">
        <f t="shared" si="4"/>
        <v>2025</v>
      </c>
      <c r="AH40" s="12">
        <f t="shared" si="5"/>
        <v>2</v>
      </c>
      <c r="AI40" s="12" t="s">
        <v>264</v>
      </c>
      <c r="AJ40" s="6" t="s">
        <v>178</v>
      </c>
      <c r="AK40" s="12"/>
      <c r="AL40" s="12"/>
      <c r="AM40" s="12" t="s">
        <v>261</v>
      </c>
    </row>
    <row r="41" spans="2:39" x14ac:dyDescent="0.35">
      <c r="B41" s="5" t="str">
        <f t="shared" si="0"/>
        <v>CA2025-Egipto16A</v>
      </c>
      <c r="C41" s="5" t="str">
        <f t="shared" si="1"/>
        <v>CA2025Egipto16A1</v>
      </c>
      <c r="D41" s="13" t="s">
        <v>265</v>
      </c>
      <c r="E41" t="s">
        <v>94</v>
      </c>
      <c r="F41" s="12">
        <v>2017</v>
      </c>
      <c r="G41" t="s">
        <v>259</v>
      </c>
      <c r="H41" t="s">
        <v>101</v>
      </c>
      <c r="I41" s="6" t="s">
        <v>91</v>
      </c>
      <c r="J41" s="6" t="s">
        <v>144</v>
      </c>
      <c r="K41" s="7" t="s">
        <v>145</v>
      </c>
      <c r="L41" s="7" t="s">
        <v>146</v>
      </c>
      <c r="M41" s="6" t="s">
        <v>225</v>
      </c>
      <c r="N41" s="6" t="s">
        <v>226</v>
      </c>
      <c r="O41" s="7">
        <v>1</v>
      </c>
      <c r="P41" s="7">
        <v>6</v>
      </c>
      <c r="Q41" s="6">
        <v>3</v>
      </c>
      <c r="R41" s="7">
        <v>6</v>
      </c>
      <c r="S41" s="7">
        <v>6</v>
      </c>
      <c r="T41" s="7" t="s">
        <v>173</v>
      </c>
      <c r="U41" s="7">
        <v>4</v>
      </c>
      <c r="V41" s="7">
        <v>30</v>
      </c>
      <c r="W41" s="7">
        <v>2.5</v>
      </c>
      <c r="X41" s="7">
        <v>1.65</v>
      </c>
      <c r="Y41" s="14">
        <f t="shared" si="2"/>
        <v>0.12870000000000001</v>
      </c>
      <c r="Z41" s="12"/>
      <c r="AA41" s="16">
        <v>45716</v>
      </c>
      <c r="AB41" s="12"/>
      <c r="AC41" s="17">
        <v>45986</v>
      </c>
      <c r="AD41" s="18">
        <f t="shared" si="3"/>
        <v>9</v>
      </c>
      <c r="AE41" s="17">
        <v>46086</v>
      </c>
      <c r="AF41" s="18">
        <f t="shared" ca="1" si="7"/>
        <v>11.533333333333333</v>
      </c>
      <c r="AG41" s="12">
        <f t="shared" si="4"/>
        <v>2025</v>
      </c>
      <c r="AH41" s="12">
        <f t="shared" si="5"/>
        <v>2</v>
      </c>
      <c r="AI41" s="12" t="s">
        <v>264</v>
      </c>
      <c r="AJ41" s="6" t="s">
        <v>178</v>
      </c>
      <c r="AK41" s="12"/>
      <c r="AL41" s="12"/>
      <c r="AM41" s="12" t="s">
        <v>261</v>
      </c>
    </row>
    <row r="42" spans="2:39" x14ac:dyDescent="0.35">
      <c r="B42" s="5" t="str">
        <f t="shared" si="0"/>
        <v>CA2025-Egipto16A</v>
      </c>
      <c r="C42" s="5" t="str">
        <f t="shared" si="1"/>
        <v>CA2025Egipto16A1</v>
      </c>
      <c r="D42" s="13" t="s">
        <v>265</v>
      </c>
      <c r="E42" t="s">
        <v>94</v>
      </c>
      <c r="F42" s="12">
        <v>2024</v>
      </c>
      <c r="G42" t="s">
        <v>259</v>
      </c>
      <c r="H42" t="s">
        <v>101</v>
      </c>
      <c r="I42" s="6" t="s">
        <v>91</v>
      </c>
      <c r="J42" s="6" t="s">
        <v>144</v>
      </c>
      <c r="K42" s="7" t="s">
        <v>145</v>
      </c>
      <c r="L42" s="7" t="s">
        <v>146</v>
      </c>
      <c r="M42" s="6" t="s">
        <v>225</v>
      </c>
      <c r="N42" s="6" t="s">
        <v>226</v>
      </c>
      <c r="O42" s="7">
        <v>1</v>
      </c>
      <c r="P42" s="7">
        <v>154</v>
      </c>
      <c r="Q42" s="6">
        <v>3</v>
      </c>
      <c r="R42" s="7">
        <v>154</v>
      </c>
      <c r="S42" s="7">
        <v>154</v>
      </c>
      <c r="T42" s="7" t="s">
        <v>173</v>
      </c>
      <c r="U42" s="7">
        <v>1</v>
      </c>
      <c r="V42" s="7">
        <v>9</v>
      </c>
      <c r="W42" s="7">
        <v>2.5</v>
      </c>
      <c r="X42" s="7">
        <v>1.65</v>
      </c>
      <c r="Y42" s="14">
        <f t="shared" si="2"/>
        <v>0.29221499999999995</v>
      </c>
      <c r="Z42" s="12"/>
      <c r="AA42" s="16">
        <v>45716</v>
      </c>
      <c r="AB42" s="12"/>
      <c r="AC42" s="17">
        <v>45986</v>
      </c>
      <c r="AD42" s="18">
        <f t="shared" si="3"/>
        <v>9</v>
      </c>
      <c r="AE42" s="17">
        <v>46086</v>
      </c>
      <c r="AF42" s="18">
        <f t="shared" ca="1" si="7"/>
        <v>11.533333333333333</v>
      </c>
      <c r="AG42" s="12">
        <f t="shared" si="4"/>
        <v>2025</v>
      </c>
      <c r="AH42" s="12">
        <f t="shared" si="5"/>
        <v>2</v>
      </c>
      <c r="AI42" s="12" t="s">
        <v>264</v>
      </c>
      <c r="AJ42" s="6" t="s">
        <v>178</v>
      </c>
      <c r="AK42" s="12"/>
      <c r="AL42" s="12"/>
      <c r="AM42" s="12" t="s">
        <v>261</v>
      </c>
    </row>
    <row r="43" spans="2:39" x14ac:dyDescent="0.35">
      <c r="B43" s="5" t="str">
        <f t="shared" si="0"/>
        <v>PR2023-Providencia7</v>
      </c>
      <c r="C43" s="5" t="str">
        <f t="shared" si="1"/>
        <v>PR2023Providencia72</v>
      </c>
      <c r="D43" s="13" t="s">
        <v>265</v>
      </c>
      <c r="E43" t="s">
        <v>99</v>
      </c>
      <c r="F43" s="12">
        <v>2023</v>
      </c>
      <c r="G43" t="s">
        <v>259</v>
      </c>
      <c r="H43" t="s">
        <v>259</v>
      </c>
      <c r="I43" s="6" t="s">
        <v>112</v>
      </c>
      <c r="J43" s="6" t="s">
        <v>120</v>
      </c>
      <c r="K43" s="6" t="s">
        <v>128</v>
      </c>
      <c r="L43" s="6">
        <v>7</v>
      </c>
      <c r="M43" s="6" t="s">
        <v>227</v>
      </c>
      <c r="N43" s="6" t="s">
        <v>228</v>
      </c>
      <c r="O43" s="6">
        <v>2</v>
      </c>
      <c r="P43" s="6" t="s">
        <v>254</v>
      </c>
      <c r="Q43" s="6">
        <v>3</v>
      </c>
      <c r="R43" s="6" t="s">
        <v>254</v>
      </c>
      <c r="S43" s="6">
        <v>135</v>
      </c>
      <c r="T43" s="6" t="s">
        <v>174</v>
      </c>
      <c r="U43" s="6">
        <v>5</v>
      </c>
      <c r="V43" s="6">
        <v>5</v>
      </c>
      <c r="W43" s="7">
        <v>2.5</v>
      </c>
      <c r="X43" s="7">
        <v>1.65</v>
      </c>
      <c r="Y43" s="14">
        <f t="shared" si="2"/>
        <v>0.83531250000000001</v>
      </c>
      <c r="Z43" s="12"/>
      <c r="AA43" s="15">
        <v>45205</v>
      </c>
      <c r="AB43" s="15">
        <v>45708</v>
      </c>
      <c r="AC43" s="17">
        <v>45978</v>
      </c>
      <c r="AD43" s="18">
        <f t="shared" si="3"/>
        <v>25.766666666666666</v>
      </c>
      <c r="AE43" s="17">
        <v>46078</v>
      </c>
      <c r="AF43" s="18">
        <f t="shared" ca="1" si="6"/>
        <v>11.8</v>
      </c>
      <c r="AG43" s="12">
        <f t="shared" si="4"/>
        <v>2023</v>
      </c>
      <c r="AH43" s="12">
        <f t="shared" si="5"/>
        <v>10</v>
      </c>
      <c r="AI43" s="12" t="s">
        <v>264</v>
      </c>
      <c r="AJ43" s="6" t="s">
        <v>177</v>
      </c>
      <c r="AK43" s="12"/>
      <c r="AL43" s="12"/>
      <c r="AM43" s="12" t="s">
        <v>261</v>
      </c>
    </row>
    <row r="44" spans="2:39" x14ac:dyDescent="0.35">
      <c r="B44" s="5" t="str">
        <f t="shared" si="0"/>
        <v>PR2023-Providencia7</v>
      </c>
      <c r="C44" s="5" t="str">
        <f t="shared" si="1"/>
        <v>PR2023Providencia72</v>
      </c>
      <c r="D44" s="13" t="s">
        <v>265</v>
      </c>
      <c r="E44" t="s">
        <v>81</v>
      </c>
      <c r="F44" s="12">
        <v>2024</v>
      </c>
      <c r="G44" t="s">
        <v>259</v>
      </c>
      <c r="H44" t="s">
        <v>259</v>
      </c>
      <c r="I44" s="6" t="s">
        <v>112</v>
      </c>
      <c r="J44" s="6" t="s">
        <v>120</v>
      </c>
      <c r="K44" s="6" t="s">
        <v>128</v>
      </c>
      <c r="L44" s="6">
        <v>7</v>
      </c>
      <c r="M44" s="6" t="s">
        <v>227</v>
      </c>
      <c r="N44" s="6" t="s">
        <v>228</v>
      </c>
      <c r="O44" s="6">
        <v>2</v>
      </c>
      <c r="P44" s="6">
        <v>60</v>
      </c>
      <c r="Q44" s="6">
        <v>3</v>
      </c>
      <c r="R44" s="6" t="s">
        <v>254</v>
      </c>
      <c r="S44" s="6">
        <v>180</v>
      </c>
      <c r="T44" s="6" t="s">
        <v>174</v>
      </c>
      <c r="U44" s="6">
        <v>5</v>
      </c>
      <c r="V44" s="6">
        <v>5</v>
      </c>
      <c r="W44" s="7">
        <v>2.5</v>
      </c>
      <c r="X44" s="7">
        <v>1.65</v>
      </c>
      <c r="Y44" s="14">
        <f t="shared" si="2"/>
        <v>1.11375</v>
      </c>
      <c r="Z44" s="12"/>
      <c r="AA44" s="15">
        <v>45203</v>
      </c>
      <c r="AB44" s="15">
        <v>45708</v>
      </c>
      <c r="AC44" s="17">
        <v>45978</v>
      </c>
      <c r="AD44" s="18">
        <f t="shared" si="3"/>
        <v>25.833333333333332</v>
      </c>
      <c r="AE44" s="17">
        <v>46078</v>
      </c>
      <c r="AF44" s="18">
        <f t="shared" ca="1" si="6"/>
        <v>11.8</v>
      </c>
      <c r="AG44" s="12">
        <f t="shared" si="4"/>
        <v>2023</v>
      </c>
      <c r="AH44" s="12">
        <f t="shared" si="5"/>
        <v>10</v>
      </c>
      <c r="AI44" s="12" t="s">
        <v>264</v>
      </c>
      <c r="AJ44" s="6" t="s">
        <v>187</v>
      </c>
      <c r="AK44" s="12"/>
      <c r="AL44" s="12"/>
      <c r="AM44" s="12" t="s">
        <v>261</v>
      </c>
    </row>
    <row r="45" spans="2:39" x14ac:dyDescent="0.35">
      <c r="B45" s="5" t="str">
        <f t="shared" si="0"/>
        <v>PR2023-Providencia7</v>
      </c>
      <c r="C45" s="5" t="str">
        <f t="shared" si="1"/>
        <v>PR2023Providencia72</v>
      </c>
      <c r="D45" s="13" t="s">
        <v>265</v>
      </c>
      <c r="E45" t="s">
        <v>100</v>
      </c>
      <c r="F45" s="12">
        <v>2025</v>
      </c>
      <c r="G45" t="s">
        <v>259</v>
      </c>
      <c r="H45" t="s">
        <v>259</v>
      </c>
      <c r="I45" s="6" t="s">
        <v>112</v>
      </c>
      <c r="J45" s="6" t="s">
        <v>120</v>
      </c>
      <c r="K45" s="6" t="s">
        <v>128</v>
      </c>
      <c r="L45" s="6">
        <v>7</v>
      </c>
      <c r="M45" s="6" t="s">
        <v>227</v>
      </c>
      <c r="N45" s="6" t="s">
        <v>228</v>
      </c>
      <c r="O45" s="6">
        <v>2</v>
      </c>
      <c r="P45" s="6" t="s">
        <v>254</v>
      </c>
      <c r="Q45" s="6">
        <v>3</v>
      </c>
      <c r="R45" s="6" t="s">
        <v>254</v>
      </c>
      <c r="S45" s="6">
        <v>61</v>
      </c>
      <c r="T45" s="6" t="s">
        <v>173</v>
      </c>
      <c r="U45" s="6">
        <v>5</v>
      </c>
      <c r="V45" s="6">
        <v>5</v>
      </c>
      <c r="W45" s="7">
        <v>2.5</v>
      </c>
      <c r="X45" s="7">
        <v>1.65</v>
      </c>
      <c r="Y45" s="14">
        <f t="shared" si="2"/>
        <v>0.37743749999999998</v>
      </c>
      <c r="Z45" s="12"/>
      <c r="AA45" s="15">
        <v>45201</v>
      </c>
      <c r="AB45" s="15">
        <v>45708</v>
      </c>
      <c r="AC45" s="17">
        <v>45978</v>
      </c>
      <c r="AD45" s="18">
        <f t="shared" si="3"/>
        <v>25.9</v>
      </c>
      <c r="AE45" s="17">
        <v>46078</v>
      </c>
      <c r="AF45" s="18">
        <f t="shared" ca="1" si="6"/>
        <v>11.8</v>
      </c>
      <c r="AG45" s="12">
        <f t="shared" si="4"/>
        <v>2023</v>
      </c>
      <c r="AH45" s="12">
        <f t="shared" si="5"/>
        <v>10</v>
      </c>
      <c r="AI45" s="12" t="s">
        <v>264</v>
      </c>
      <c r="AJ45" s="6" t="s">
        <v>177</v>
      </c>
      <c r="AK45" s="12"/>
      <c r="AL45" s="12"/>
      <c r="AM45" s="12" t="s">
        <v>261</v>
      </c>
    </row>
    <row r="46" spans="2:39" x14ac:dyDescent="0.35">
      <c r="B46" s="5" t="str">
        <f t="shared" si="0"/>
        <v>PR2020-Providencia10C</v>
      </c>
      <c r="C46" s="5" t="str">
        <f t="shared" si="1"/>
        <v>PR2020Providencia10C4</v>
      </c>
      <c r="D46" s="13" t="s">
        <v>265</v>
      </c>
      <c r="E46" t="s">
        <v>82</v>
      </c>
      <c r="F46" s="12">
        <v>2020</v>
      </c>
      <c r="G46" t="s">
        <v>259</v>
      </c>
      <c r="H46" t="s">
        <v>259</v>
      </c>
      <c r="I46" s="6" t="s">
        <v>91</v>
      </c>
      <c r="J46" s="6" t="s">
        <v>120</v>
      </c>
      <c r="K46" s="6" t="s">
        <v>128</v>
      </c>
      <c r="L46" s="6" t="s">
        <v>147</v>
      </c>
      <c r="M46" s="6" t="s">
        <v>229</v>
      </c>
      <c r="N46" s="6" t="s">
        <v>230</v>
      </c>
      <c r="O46" s="6">
        <v>4</v>
      </c>
      <c r="P46" s="6">
        <v>155</v>
      </c>
      <c r="Q46" s="6">
        <v>3</v>
      </c>
      <c r="R46" s="6">
        <v>155</v>
      </c>
      <c r="S46" s="6">
        <v>160</v>
      </c>
      <c r="T46" s="6" t="s">
        <v>173</v>
      </c>
      <c r="U46" s="6">
        <v>2</v>
      </c>
      <c r="V46" s="6">
        <v>10</v>
      </c>
      <c r="W46" s="7">
        <v>2.5</v>
      </c>
      <c r="X46" s="7">
        <v>1.65</v>
      </c>
      <c r="Y46" s="14">
        <f t="shared" si="2"/>
        <v>0.66</v>
      </c>
      <c r="Z46" s="12"/>
      <c r="AA46" s="15">
        <v>44178</v>
      </c>
      <c r="AB46" s="16">
        <v>45707</v>
      </c>
      <c r="AC46" s="17">
        <v>45977</v>
      </c>
      <c r="AD46" s="18">
        <f t="shared" si="3"/>
        <v>59.966666666666669</v>
      </c>
      <c r="AE46" s="17">
        <v>46077</v>
      </c>
      <c r="AF46" s="18">
        <f t="shared" ca="1" si="6"/>
        <v>11.833333333333334</v>
      </c>
      <c r="AG46" s="12">
        <f t="shared" si="4"/>
        <v>2020</v>
      </c>
      <c r="AH46" s="12">
        <f t="shared" si="5"/>
        <v>12</v>
      </c>
      <c r="AI46" s="12" t="s">
        <v>264</v>
      </c>
      <c r="AJ46" s="6" t="s">
        <v>178</v>
      </c>
      <c r="AK46" s="12"/>
      <c r="AL46" s="12"/>
      <c r="AM46" s="12" t="s">
        <v>261</v>
      </c>
    </row>
    <row r="47" spans="2:39" x14ac:dyDescent="0.35">
      <c r="B47" s="5" t="str">
        <f t="shared" si="0"/>
        <v>RS2025-La Meseta14</v>
      </c>
      <c r="C47" s="5" t="str">
        <f t="shared" si="1"/>
        <v>RS2025La Meseta141</v>
      </c>
      <c r="D47" s="13" t="s">
        <v>265</v>
      </c>
      <c r="E47" t="s">
        <v>88</v>
      </c>
      <c r="F47" s="12">
        <v>2015</v>
      </c>
      <c r="G47" t="s">
        <v>259</v>
      </c>
      <c r="H47" t="s">
        <v>259</v>
      </c>
      <c r="I47" s="6" t="s">
        <v>112</v>
      </c>
      <c r="J47" s="6" t="s">
        <v>133</v>
      </c>
      <c r="K47" s="7" t="s">
        <v>148</v>
      </c>
      <c r="L47" s="7">
        <v>14</v>
      </c>
      <c r="M47" s="6" t="s">
        <v>231</v>
      </c>
      <c r="N47" s="6" t="s">
        <v>232</v>
      </c>
      <c r="O47" s="7">
        <v>1</v>
      </c>
      <c r="P47" s="7">
        <v>12</v>
      </c>
      <c r="Q47" s="6">
        <v>3</v>
      </c>
      <c r="R47" s="7">
        <v>12</v>
      </c>
      <c r="S47" s="7">
        <v>36</v>
      </c>
      <c r="T47" s="7" t="s">
        <v>172</v>
      </c>
      <c r="U47" s="6">
        <v>5</v>
      </c>
      <c r="V47" s="7">
        <v>110</v>
      </c>
      <c r="W47" s="7">
        <v>0</v>
      </c>
      <c r="X47" s="7">
        <v>1.65</v>
      </c>
      <c r="Y47" s="14">
        <f t="shared" si="2"/>
        <v>3.2669999999999999</v>
      </c>
      <c r="Z47" s="12"/>
      <c r="AA47" s="16">
        <v>45688</v>
      </c>
      <c r="AB47" s="12"/>
      <c r="AC47" s="17">
        <v>45958</v>
      </c>
      <c r="AD47" s="18">
        <f t="shared" si="3"/>
        <v>9</v>
      </c>
      <c r="AE47" s="17">
        <v>46058</v>
      </c>
      <c r="AF47" s="18">
        <f ca="1">(TODAY()-AA47)/30</f>
        <v>12.466666666666667</v>
      </c>
      <c r="AG47" s="12">
        <f t="shared" si="4"/>
        <v>2025</v>
      </c>
      <c r="AH47" s="12">
        <f t="shared" si="5"/>
        <v>1</v>
      </c>
      <c r="AI47" s="12" t="s">
        <v>262</v>
      </c>
      <c r="AJ47" s="6" t="s">
        <v>183</v>
      </c>
      <c r="AK47" s="12"/>
      <c r="AL47" s="12"/>
      <c r="AM47" s="12" t="s">
        <v>261</v>
      </c>
    </row>
    <row r="48" spans="2:39" x14ac:dyDescent="0.35">
      <c r="B48" s="5" t="str">
        <f t="shared" si="0"/>
        <v>SC2023-El Cairo8</v>
      </c>
      <c r="C48" s="5" t="str">
        <f t="shared" si="1"/>
        <v>SC2023El Cairo82</v>
      </c>
      <c r="D48" s="6" t="s">
        <v>86</v>
      </c>
      <c r="E48" t="s">
        <v>86</v>
      </c>
      <c r="F48" s="12" t="s">
        <v>87</v>
      </c>
      <c r="G48" t="s">
        <v>259</v>
      </c>
      <c r="H48" t="s">
        <v>259</v>
      </c>
      <c r="I48" s="6" t="s">
        <v>112</v>
      </c>
      <c r="J48" s="6" t="s">
        <v>149</v>
      </c>
      <c r="K48" s="7" t="s">
        <v>150</v>
      </c>
      <c r="L48" s="7">
        <v>8</v>
      </c>
      <c r="M48" s="6" t="s">
        <v>209</v>
      </c>
      <c r="N48" s="6" t="s">
        <v>233</v>
      </c>
      <c r="O48" s="7">
        <v>2</v>
      </c>
      <c r="P48" s="7">
        <v>52</v>
      </c>
      <c r="Q48" s="6">
        <v>3</v>
      </c>
      <c r="R48" s="7">
        <v>52</v>
      </c>
      <c r="S48" s="7">
        <v>52</v>
      </c>
      <c r="T48" s="7" t="s">
        <v>174</v>
      </c>
      <c r="U48" s="7">
        <v>2</v>
      </c>
      <c r="V48" s="7">
        <v>25</v>
      </c>
      <c r="W48" s="7">
        <v>2.5</v>
      </c>
      <c r="X48" s="7">
        <v>1.65</v>
      </c>
      <c r="Y48" s="14">
        <f t="shared" si="2"/>
        <v>0.47189999999999999</v>
      </c>
      <c r="Z48" s="12"/>
      <c r="AA48" s="16">
        <v>45271</v>
      </c>
      <c r="AB48" s="16">
        <v>45674</v>
      </c>
      <c r="AC48" s="17">
        <v>45944</v>
      </c>
      <c r="AD48" s="18">
        <f t="shared" si="3"/>
        <v>22.433333333333334</v>
      </c>
      <c r="AE48" s="17">
        <v>46044</v>
      </c>
      <c r="AF48" s="18">
        <f t="shared" ca="1" si="6"/>
        <v>12.933333333333334</v>
      </c>
      <c r="AG48" s="12">
        <f t="shared" si="4"/>
        <v>2023</v>
      </c>
      <c r="AH48" s="12">
        <f t="shared" si="5"/>
        <v>12</v>
      </c>
      <c r="AI48" s="12" t="s">
        <v>262</v>
      </c>
      <c r="AJ48" s="6" t="s">
        <v>177</v>
      </c>
      <c r="AK48" s="12"/>
      <c r="AL48" s="12"/>
      <c r="AM48" s="12" t="s">
        <v>261</v>
      </c>
    </row>
    <row r="49" spans="2:39" x14ac:dyDescent="0.35">
      <c r="B49" s="5" t="str">
        <f t="shared" si="0"/>
        <v>PR2023-Marsella502</v>
      </c>
      <c r="C49" s="5" t="str">
        <f t="shared" si="1"/>
        <v>PR2023Marsella5023</v>
      </c>
      <c r="D49" s="13" t="s">
        <v>267</v>
      </c>
      <c r="E49" t="s">
        <v>101</v>
      </c>
      <c r="F49" s="12" t="s">
        <v>102</v>
      </c>
      <c r="G49" t="s">
        <v>259</v>
      </c>
      <c r="H49" t="s">
        <v>260</v>
      </c>
      <c r="I49" s="6" t="s">
        <v>91</v>
      </c>
      <c r="J49" s="6" t="s">
        <v>120</v>
      </c>
      <c r="K49" s="7" t="s">
        <v>130</v>
      </c>
      <c r="L49" s="7">
        <v>502</v>
      </c>
      <c r="M49" s="6" t="s">
        <v>201</v>
      </c>
      <c r="N49" s="6" t="s">
        <v>211</v>
      </c>
      <c r="O49" s="7">
        <v>3</v>
      </c>
      <c r="P49" s="7">
        <v>20</v>
      </c>
      <c r="Q49" s="6">
        <v>4</v>
      </c>
      <c r="R49" s="7">
        <v>16</v>
      </c>
      <c r="S49" s="7">
        <v>20</v>
      </c>
      <c r="T49" s="7"/>
      <c r="U49" s="7">
        <v>4</v>
      </c>
      <c r="V49" s="7">
        <v>20</v>
      </c>
      <c r="W49" s="7">
        <v>2.5</v>
      </c>
      <c r="X49" s="7">
        <v>1.65</v>
      </c>
      <c r="Y49" s="14">
        <f t="shared" si="2"/>
        <v>0.29699999999999999</v>
      </c>
      <c r="Z49" s="12"/>
      <c r="AA49" s="16">
        <v>45120</v>
      </c>
      <c r="AB49" s="16">
        <v>46059</v>
      </c>
      <c r="AC49" s="17">
        <v>45943</v>
      </c>
      <c r="AD49" s="18">
        <f t="shared" si="3"/>
        <v>27.433333333333334</v>
      </c>
      <c r="AE49" s="17">
        <v>46043</v>
      </c>
      <c r="AF49" s="18">
        <f t="shared" ca="1" si="6"/>
        <v>0.1</v>
      </c>
      <c r="AG49" s="12">
        <f t="shared" si="4"/>
        <v>2023</v>
      </c>
      <c r="AH49" s="12">
        <f t="shared" si="5"/>
        <v>7</v>
      </c>
      <c r="AI49" s="12" t="s">
        <v>264</v>
      </c>
      <c r="AJ49" s="6" t="s">
        <v>178</v>
      </c>
      <c r="AK49" s="12"/>
      <c r="AL49" s="12"/>
      <c r="AM49" s="12" t="s">
        <v>261</v>
      </c>
    </row>
    <row r="50" spans="2:39" x14ac:dyDescent="0.35">
      <c r="B50" s="5" t="str">
        <f t="shared" si="0"/>
        <v>PR2023-Marsella502</v>
      </c>
      <c r="C50" s="5" t="str">
        <f t="shared" si="1"/>
        <v>PR2023Marsella5023</v>
      </c>
      <c r="D50" s="13" t="s">
        <v>268</v>
      </c>
      <c r="E50" t="s">
        <v>103</v>
      </c>
      <c r="F50" s="12" t="s">
        <v>104</v>
      </c>
      <c r="G50" t="s">
        <v>259</v>
      </c>
      <c r="H50" t="s">
        <v>260</v>
      </c>
      <c r="I50" s="6" t="s">
        <v>91</v>
      </c>
      <c r="J50" s="6" t="s">
        <v>120</v>
      </c>
      <c r="K50" s="7" t="s">
        <v>130</v>
      </c>
      <c r="L50" s="7">
        <v>502</v>
      </c>
      <c r="M50" s="6" t="s">
        <v>201</v>
      </c>
      <c r="N50" s="6" t="s">
        <v>211</v>
      </c>
      <c r="O50" s="7">
        <v>3</v>
      </c>
      <c r="P50" s="7">
        <v>764</v>
      </c>
      <c r="Q50" s="6">
        <v>3</v>
      </c>
      <c r="R50" s="7">
        <v>764</v>
      </c>
      <c r="S50" s="7">
        <v>764</v>
      </c>
      <c r="T50" s="7"/>
      <c r="U50" s="7">
        <v>1</v>
      </c>
      <c r="V50" s="7">
        <v>6</v>
      </c>
      <c r="W50" s="7">
        <v>2.5</v>
      </c>
      <c r="X50" s="7">
        <v>1.65</v>
      </c>
      <c r="Y50" s="14">
        <f t="shared" si="2"/>
        <v>1.07151</v>
      </c>
      <c r="Z50" s="12"/>
      <c r="AA50" s="16">
        <v>45119</v>
      </c>
      <c r="AB50" s="16">
        <v>46059</v>
      </c>
      <c r="AC50" s="17">
        <v>45943</v>
      </c>
      <c r="AD50" s="18">
        <f t="shared" si="3"/>
        <v>27.466666666666665</v>
      </c>
      <c r="AE50" s="17">
        <v>46043</v>
      </c>
      <c r="AF50" s="18">
        <f t="shared" ca="1" si="6"/>
        <v>0.1</v>
      </c>
      <c r="AG50" s="12">
        <f t="shared" si="4"/>
        <v>2023</v>
      </c>
      <c r="AH50" s="12">
        <f t="shared" si="5"/>
        <v>7</v>
      </c>
      <c r="AI50" s="12" t="s">
        <v>264</v>
      </c>
      <c r="AJ50" s="6" t="s">
        <v>188</v>
      </c>
      <c r="AK50" s="12"/>
      <c r="AL50" s="12"/>
      <c r="AM50" s="12" t="s">
        <v>261</v>
      </c>
    </row>
    <row r="51" spans="2:39" x14ac:dyDescent="0.35">
      <c r="B51" s="5" t="str">
        <f t="shared" si="0"/>
        <v>PR2023-Marsella502</v>
      </c>
      <c r="C51" s="5" t="str">
        <f t="shared" si="1"/>
        <v>PR2023Marsella5023</v>
      </c>
      <c r="D51" s="13" t="s">
        <v>265</v>
      </c>
      <c r="E51" t="s">
        <v>78</v>
      </c>
      <c r="F51" s="12">
        <v>2020</v>
      </c>
      <c r="G51" t="s">
        <v>259</v>
      </c>
      <c r="H51" t="s">
        <v>260</v>
      </c>
      <c r="I51" s="6" t="s">
        <v>91</v>
      </c>
      <c r="J51" s="6" t="s">
        <v>120</v>
      </c>
      <c r="K51" s="7" t="s">
        <v>130</v>
      </c>
      <c r="L51" s="7">
        <v>502</v>
      </c>
      <c r="M51" s="6" t="s">
        <v>201</v>
      </c>
      <c r="N51" s="6" t="s">
        <v>211</v>
      </c>
      <c r="O51" s="7">
        <v>3</v>
      </c>
      <c r="P51" s="7">
        <v>29</v>
      </c>
      <c r="Q51" s="6">
        <v>3</v>
      </c>
      <c r="R51" s="7">
        <v>29</v>
      </c>
      <c r="S51" s="7">
        <v>29</v>
      </c>
      <c r="T51" s="7" t="s">
        <v>173</v>
      </c>
      <c r="U51" s="7">
        <v>5</v>
      </c>
      <c r="V51" s="7">
        <v>70</v>
      </c>
      <c r="W51" s="7">
        <v>2.5</v>
      </c>
      <c r="X51" s="7">
        <v>1.65</v>
      </c>
      <c r="Y51" s="14">
        <f t="shared" si="2"/>
        <v>1.7345625</v>
      </c>
      <c r="Z51" s="12"/>
      <c r="AA51" s="16">
        <v>45107</v>
      </c>
      <c r="AB51" s="16">
        <v>46059</v>
      </c>
      <c r="AC51" s="17">
        <v>45943</v>
      </c>
      <c r="AD51" s="18">
        <f t="shared" si="3"/>
        <v>27.866666666666667</v>
      </c>
      <c r="AE51" s="17">
        <v>46043</v>
      </c>
      <c r="AF51" s="18">
        <f t="shared" ca="1" si="6"/>
        <v>0.1</v>
      </c>
      <c r="AG51" s="12">
        <f t="shared" si="4"/>
        <v>2023</v>
      </c>
      <c r="AH51" s="12">
        <f t="shared" si="5"/>
        <v>6</v>
      </c>
      <c r="AI51" s="12" t="s">
        <v>264</v>
      </c>
      <c r="AJ51" s="6" t="s">
        <v>178</v>
      </c>
      <c r="AK51" s="12"/>
      <c r="AL51" s="12"/>
      <c r="AM51" s="12" t="s">
        <v>261</v>
      </c>
    </row>
    <row r="52" spans="2:39" x14ac:dyDescent="0.35">
      <c r="B52" s="5" t="str">
        <f t="shared" si="0"/>
        <v>PR2023-Marsella502</v>
      </c>
      <c r="C52" s="5" t="str">
        <f t="shared" si="1"/>
        <v>PR2023Marsella5023</v>
      </c>
      <c r="D52" s="13" t="s">
        <v>265</v>
      </c>
      <c r="E52" t="s">
        <v>82</v>
      </c>
      <c r="F52" s="12">
        <v>2023</v>
      </c>
      <c r="G52" t="s">
        <v>259</v>
      </c>
      <c r="H52" t="s">
        <v>260</v>
      </c>
      <c r="I52" s="6" t="s">
        <v>91</v>
      </c>
      <c r="J52" s="6" t="s">
        <v>120</v>
      </c>
      <c r="K52" s="7" t="s">
        <v>130</v>
      </c>
      <c r="L52" s="7">
        <v>502</v>
      </c>
      <c r="M52" s="6" t="s">
        <v>201</v>
      </c>
      <c r="N52" s="6" t="s">
        <v>211</v>
      </c>
      <c r="O52" s="7">
        <v>3</v>
      </c>
      <c r="P52" s="7">
        <v>812</v>
      </c>
      <c r="Q52" s="6">
        <v>3</v>
      </c>
      <c r="R52" s="7">
        <v>812</v>
      </c>
      <c r="S52" s="7">
        <v>812</v>
      </c>
      <c r="T52" s="7" t="s">
        <v>173</v>
      </c>
      <c r="U52" s="7">
        <v>1</v>
      </c>
      <c r="V52" s="7">
        <v>10</v>
      </c>
      <c r="W52" s="7">
        <v>2.5</v>
      </c>
      <c r="X52" s="7">
        <v>1.65</v>
      </c>
      <c r="Y52" s="14">
        <f t="shared" si="2"/>
        <v>1.67475</v>
      </c>
      <c r="Z52" s="12"/>
      <c r="AA52" s="16">
        <v>45105</v>
      </c>
      <c r="AB52" s="16">
        <v>46059</v>
      </c>
      <c r="AC52" s="17">
        <v>45943</v>
      </c>
      <c r="AD52" s="18">
        <f t="shared" si="3"/>
        <v>27.933333333333334</v>
      </c>
      <c r="AE52" s="17">
        <v>46043</v>
      </c>
      <c r="AF52" s="18">
        <f t="shared" ca="1" si="6"/>
        <v>0.1</v>
      </c>
      <c r="AG52" s="12">
        <f t="shared" si="4"/>
        <v>2023</v>
      </c>
      <c r="AH52" s="12">
        <f t="shared" si="5"/>
        <v>6</v>
      </c>
      <c r="AI52" s="12" t="s">
        <v>264</v>
      </c>
      <c r="AJ52" s="6" t="s">
        <v>178</v>
      </c>
      <c r="AK52" s="12"/>
      <c r="AL52" s="12"/>
      <c r="AM52" s="12" t="s">
        <v>261</v>
      </c>
    </row>
    <row r="53" spans="2:39" x14ac:dyDescent="0.35">
      <c r="B53" s="5" t="str">
        <f t="shared" si="0"/>
        <v>PC2023-Corinto31</v>
      </c>
      <c r="C53" s="5" t="str">
        <f t="shared" si="1"/>
        <v>PC2023Corinto312</v>
      </c>
      <c r="D53" s="13" t="s">
        <v>265</v>
      </c>
      <c r="E53" t="s">
        <v>91</v>
      </c>
      <c r="F53" s="12" t="s">
        <v>105</v>
      </c>
      <c r="G53" t="s">
        <v>259</v>
      </c>
      <c r="H53" t="s">
        <v>259</v>
      </c>
      <c r="I53" s="6" t="s">
        <v>91</v>
      </c>
      <c r="J53" s="6" t="s">
        <v>131</v>
      </c>
      <c r="K53" s="7" t="s">
        <v>151</v>
      </c>
      <c r="L53" s="7">
        <v>31</v>
      </c>
      <c r="M53" s="6" t="s">
        <v>209</v>
      </c>
      <c r="N53" s="6" t="s">
        <v>234</v>
      </c>
      <c r="O53" s="7">
        <v>2</v>
      </c>
      <c r="P53" s="7">
        <v>23</v>
      </c>
      <c r="Q53" s="6">
        <v>3</v>
      </c>
      <c r="R53" s="7">
        <v>23</v>
      </c>
      <c r="S53" s="7">
        <v>23</v>
      </c>
      <c r="T53" s="7" t="s">
        <v>173</v>
      </c>
      <c r="U53" s="7">
        <v>4</v>
      </c>
      <c r="V53" s="7">
        <v>50</v>
      </c>
      <c r="W53" s="7">
        <v>2.5</v>
      </c>
      <c r="X53" s="7">
        <v>1.65</v>
      </c>
      <c r="Y53" s="14">
        <f t="shared" si="2"/>
        <v>0.79695000000000005</v>
      </c>
      <c r="Z53" s="12"/>
      <c r="AA53" s="16">
        <v>45092</v>
      </c>
      <c r="AB53" s="16">
        <v>45620</v>
      </c>
      <c r="AC53" s="17">
        <v>45890</v>
      </c>
      <c r="AD53" s="18">
        <f t="shared" si="3"/>
        <v>26.6</v>
      </c>
      <c r="AE53" s="17">
        <v>45990</v>
      </c>
      <c r="AF53" s="18">
        <f t="shared" ca="1" si="6"/>
        <v>14.733333333333333</v>
      </c>
      <c r="AG53" s="12">
        <f t="shared" si="4"/>
        <v>2023</v>
      </c>
      <c r="AH53" s="12">
        <f t="shared" si="5"/>
        <v>6</v>
      </c>
      <c r="AI53" s="12" t="s">
        <v>262</v>
      </c>
      <c r="AJ53" s="6" t="s">
        <v>178</v>
      </c>
      <c r="AK53" s="12"/>
      <c r="AL53" s="12"/>
      <c r="AM53" s="12" t="s">
        <v>261</v>
      </c>
    </row>
    <row r="54" spans="2:39" x14ac:dyDescent="0.35">
      <c r="B54" s="5" t="str">
        <f t="shared" si="0"/>
        <v>MN2021-Cabaña1A</v>
      </c>
      <c r="C54" s="5" t="str">
        <f t="shared" si="1"/>
        <v>MN2021Cabaña1A4</v>
      </c>
      <c r="D54" s="13" t="s">
        <v>265</v>
      </c>
      <c r="E54" t="s">
        <v>93</v>
      </c>
      <c r="F54" s="12">
        <v>2014</v>
      </c>
      <c r="G54" t="s">
        <v>259</v>
      </c>
      <c r="H54" t="s">
        <v>259</v>
      </c>
      <c r="I54" s="6" t="s">
        <v>112</v>
      </c>
      <c r="J54" s="6" t="s">
        <v>137</v>
      </c>
      <c r="K54" s="6" t="s">
        <v>138</v>
      </c>
      <c r="L54" s="6" t="s">
        <v>152</v>
      </c>
      <c r="M54" s="6" t="s">
        <v>218</v>
      </c>
      <c r="N54" s="6" t="s">
        <v>219</v>
      </c>
      <c r="O54" s="6">
        <v>4</v>
      </c>
      <c r="P54" s="6">
        <v>28</v>
      </c>
      <c r="Q54" s="6">
        <v>3</v>
      </c>
      <c r="R54" s="6">
        <v>28</v>
      </c>
      <c r="S54" s="6">
        <v>84</v>
      </c>
      <c r="T54" s="6" t="s">
        <v>172</v>
      </c>
      <c r="U54" s="6">
        <v>5</v>
      </c>
      <c r="V54" s="6">
        <v>100</v>
      </c>
      <c r="W54" s="7">
        <v>0</v>
      </c>
      <c r="X54" s="7">
        <v>1.65</v>
      </c>
      <c r="Y54" s="14">
        <f t="shared" si="2"/>
        <v>6.93</v>
      </c>
      <c r="Z54" s="12"/>
      <c r="AA54" s="15">
        <v>44268</v>
      </c>
      <c r="AB54" s="15">
        <v>45616</v>
      </c>
      <c r="AC54" s="17">
        <v>45886</v>
      </c>
      <c r="AD54" s="18">
        <f t="shared" si="3"/>
        <v>53.93333333333333</v>
      </c>
      <c r="AE54" s="17">
        <v>45986</v>
      </c>
      <c r="AF54" s="18">
        <f t="shared" ca="1" si="6"/>
        <v>14.866666666666667</v>
      </c>
      <c r="AG54" s="12">
        <f t="shared" si="4"/>
        <v>2021</v>
      </c>
      <c r="AH54" s="12">
        <f t="shared" si="5"/>
        <v>3</v>
      </c>
      <c r="AI54" s="12" t="s">
        <v>264</v>
      </c>
      <c r="AJ54" s="6" t="s">
        <v>189</v>
      </c>
      <c r="AK54" s="12"/>
      <c r="AL54" s="12"/>
      <c r="AM54" s="12" t="s">
        <v>261</v>
      </c>
    </row>
    <row r="55" spans="2:39" x14ac:dyDescent="0.35">
      <c r="B55" s="5" t="str">
        <f t="shared" si="0"/>
        <v>PC2023-La Lorena512</v>
      </c>
      <c r="C55" s="5" t="str">
        <f t="shared" si="1"/>
        <v>PC2023La Lorena5122</v>
      </c>
      <c r="D55" s="13" t="s">
        <v>265</v>
      </c>
      <c r="E55" t="s">
        <v>78</v>
      </c>
      <c r="F55" s="12">
        <v>2019</v>
      </c>
      <c r="G55" t="s">
        <v>259</v>
      </c>
      <c r="H55" t="s">
        <v>259</v>
      </c>
      <c r="I55" s="6" t="s">
        <v>91</v>
      </c>
      <c r="J55" s="6" t="s">
        <v>131</v>
      </c>
      <c r="K55" s="6" t="s">
        <v>153</v>
      </c>
      <c r="L55" s="6">
        <v>512</v>
      </c>
      <c r="M55" s="6" t="s">
        <v>235</v>
      </c>
      <c r="N55" s="6" t="s">
        <v>236</v>
      </c>
      <c r="O55" s="6">
        <v>2</v>
      </c>
      <c r="P55" s="6">
        <v>24</v>
      </c>
      <c r="Q55" s="6">
        <v>3</v>
      </c>
      <c r="R55" s="6">
        <v>24</v>
      </c>
      <c r="S55" s="6">
        <v>24</v>
      </c>
      <c r="T55" s="6" t="s">
        <v>173</v>
      </c>
      <c r="U55" s="6">
        <v>4</v>
      </c>
      <c r="V55" s="6">
        <v>20</v>
      </c>
      <c r="W55" s="7">
        <v>2.5</v>
      </c>
      <c r="X55" s="7">
        <v>1.65</v>
      </c>
      <c r="Y55" s="14">
        <f t="shared" si="2"/>
        <v>0.35639999999999999</v>
      </c>
      <c r="Z55" s="12"/>
      <c r="AA55" s="15">
        <v>45149</v>
      </c>
      <c r="AB55" s="15">
        <v>45600</v>
      </c>
      <c r="AC55" s="17">
        <v>45870</v>
      </c>
      <c r="AD55" s="18">
        <f t="shared" si="3"/>
        <v>24.033333333333335</v>
      </c>
      <c r="AE55" s="17">
        <v>45970</v>
      </c>
      <c r="AF55" s="18">
        <f t="shared" ca="1" si="6"/>
        <v>15.4</v>
      </c>
      <c r="AG55" s="12">
        <f t="shared" si="4"/>
        <v>2023</v>
      </c>
      <c r="AH55" s="12">
        <f t="shared" si="5"/>
        <v>8</v>
      </c>
      <c r="AI55" s="12" t="s">
        <v>262</v>
      </c>
      <c r="AJ55" s="6" t="s">
        <v>178</v>
      </c>
      <c r="AK55" s="12"/>
      <c r="AL55" s="12"/>
      <c r="AM55" s="12" t="s">
        <v>261</v>
      </c>
    </row>
    <row r="56" spans="2:39" x14ac:dyDescent="0.35">
      <c r="B56" s="5" t="str">
        <f t="shared" si="0"/>
        <v>PC2023-La Lorena512</v>
      </c>
      <c r="C56" s="5" t="str">
        <f t="shared" si="1"/>
        <v>PC2023La Lorena5122</v>
      </c>
      <c r="D56" s="13" t="s">
        <v>265</v>
      </c>
      <c r="E56" t="s">
        <v>78</v>
      </c>
      <c r="F56" s="12">
        <v>2019</v>
      </c>
      <c r="G56" t="s">
        <v>259</v>
      </c>
      <c r="H56" t="s">
        <v>259</v>
      </c>
      <c r="I56" s="6" t="s">
        <v>112</v>
      </c>
      <c r="J56" s="6" t="s">
        <v>131</v>
      </c>
      <c r="K56" s="6" t="s">
        <v>153</v>
      </c>
      <c r="L56" s="6">
        <v>512</v>
      </c>
      <c r="M56" s="6" t="s">
        <v>235</v>
      </c>
      <c r="N56" s="6" t="s">
        <v>236</v>
      </c>
      <c r="O56" s="6">
        <v>2</v>
      </c>
      <c r="P56" s="6">
        <v>32</v>
      </c>
      <c r="Q56" s="6">
        <v>3</v>
      </c>
      <c r="R56" s="6">
        <v>32</v>
      </c>
      <c r="S56" s="6">
        <v>96</v>
      </c>
      <c r="T56" s="6" t="s">
        <v>174</v>
      </c>
      <c r="U56" s="6">
        <v>5</v>
      </c>
      <c r="V56" s="6">
        <v>30</v>
      </c>
      <c r="W56" s="7">
        <v>2.5</v>
      </c>
      <c r="X56" s="7">
        <v>1.65</v>
      </c>
      <c r="Y56" s="14">
        <f t="shared" si="2"/>
        <v>2.5739999999999998</v>
      </c>
      <c r="Z56" s="12"/>
      <c r="AA56" s="15">
        <v>45149</v>
      </c>
      <c r="AB56" s="15">
        <v>45600</v>
      </c>
      <c r="AC56" s="17">
        <v>45870</v>
      </c>
      <c r="AD56" s="18">
        <f t="shared" si="3"/>
        <v>24.033333333333335</v>
      </c>
      <c r="AE56" s="17">
        <v>45970</v>
      </c>
      <c r="AF56" s="18">
        <f t="shared" ca="1" si="6"/>
        <v>15.4</v>
      </c>
      <c r="AG56" s="12">
        <f t="shared" si="4"/>
        <v>2023</v>
      </c>
      <c r="AH56" s="12">
        <f t="shared" si="5"/>
        <v>8</v>
      </c>
      <c r="AI56" s="12" t="s">
        <v>262</v>
      </c>
      <c r="AJ56" s="6" t="s">
        <v>177</v>
      </c>
      <c r="AK56" s="12"/>
      <c r="AL56" s="12"/>
      <c r="AM56" s="12" t="s">
        <v>261</v>
      </c>
    </row>
    <row r="57" spans="2:39" x14ac:dyDescent="0.35">
      <c r="B57" s="5" t="str">
        <f t="shared" si="0"/>
        <v>PR2024-Piedechinche39</v>
      </c>
      <c r="C57" s="5" t="str">
        <f t="shared" si="1"/>
        <v>PR2024Piedechinche391</v>
      </c>
      <c r="D57" s="13" t="s">
        <v>265</v>
      </c>
      <c r="E57" t="s">
        <v>80</v>
      </c>
      <c r="F57" s="12">
        <v>2026</v>
      </c>
      <c r="G57" t="s">
        <v>259</v>
      </c>
      <c r="H57" t="s">
        <v>259</v>
      </c>
      <c r="I57" s="6" t="s">
        <v>112</v>
      </c>
      <c r="J57" s="6" t="s">
        <v>120</v>
      </c>
      <c r="K57" s="6" t="s">
        <v>143</v>
      </c>
      <c r="L57" s="6">
        <v>39</v>
      </c>
      <c r="M57" s="6" t="s">
        <v>237</v>
      </c>
      <c r="N57" s="6" t="s">
        <v>202</v>
      </c>
      <c r="O57" s="6">
        <v>1</v>
      </c>
      <c r="P57" s="6">
        <v>125</v>
      </c>
      <c r="Q57" s="6">
        <v>3</v>
      </c>
      <c r="R57" s="6">
        <v>125</v>
      </c>
      <c r="S57" s="6">
        <v>333</v>
      </c>
      <c r="T57" s="6" t="s">
        <v>175</v>
      </c>
      <c r="U57" s="6">
        <v>2</v>
      </c>
      <c r="V57" s="6">
        <v>15</v>
      </c>
      <c r="W57" s="7">
        <v>2.5</v>
      </c>
      <c r="X57" s="7">
        <v>1.65</v>
      </c>
      <c r="Y57" s="14">
        <f t="shared" si="2"/>
        <v>1.9230750000000001</v>
      </c>
      <c r="Z57" s="12"/>
      <c r="AA57" s="15">
        <v>45597</v>
      </c>
      <c r="AB57" s="12"/>
      <c r="AC57" s="17">
        <v>45867</v>
      </c>
      <c r="AD57" s="18">
        <f t="shared" si="3"/>
        <v>9</v>
      </c>
      <c r="AE57" s="17">
        <v>45967</v>
      </c>
      <c r="AF57" s="18">
        <f ca="1">(TODAY()-AA57)/30</f>
        <v>15.5</v>
      </c>
      <c r="AG57" s="12">
        <f t="shared" si="4"/>
        <v>2024</v>
      </c>
      <c r="AH57" s="12">
        <f t="shared" si="5"/>
        <v>11</v>
      </c>
      <c r="AI57" s="12" t="s">
        <v>264</v>
      </c>
      <c r="AJ57" s="7" t="s">
        <v>186</v>
      </c>
      <c r="AK57" s="12"/>
      <c r="AL57" s="12"/>
      <c r="AM57" s="12" t="s">
        <v>261</v>
      </c>
    </row>
    <row r="58" spans="2:39" x14ac:dyDescent="0.35">
      <c r="B58" s="5" t="str">
        <f t="shared" si="0"/>
        <v>PR2024-Piedechinche39</v>
      </c>
      <c r="C58" s="5" t="str">
        <f t="shared" si="1"/>
        <v>PR2024Piedechinche391</v>
      </c>
      <c r="D58" s="13" t="s">
        <v>265</v>
      </c>
      <c r="E58" t="s">
        <v>80</v>
      </c>
      <c r="F58" s="12">
        <v>2026</v>
      </c>
      <c r="G58" t="s">
        <v>259</v>
      </c>
      <c r="H58" t="s">
        <v>259</v>
      </c>
      <c r="I58" s="6" t="s">
        <v>112</v>
      </c>
      <c r="J58" s="6" t="s">
        <v>120</v>
      </c>
      <c r="K58" s="6" t="s">
        <v>143</v>
      </c>
      <c r="L58" s="6">
        <v>39</v>
      </c>
      <c r="M58" s="6" t="s">
        <v>237</v>
      </c>
      <c r="N58" s="6" t="s">
        <v>202</v>
      </c>
      <c r="O58" s="6">
        <v>1</v>
      </c>
      <c r="P58" s="6">
        <v>129</v>
      </c>
      <c r="Q58" s="6">
        <v>3</v>
      </c>
      <c r="R58" s="6">
        <v>129</v>
      </c>
      <c r="S58" s="6">
        <v>441</v>
      </c>
      <c r="T58" s="6" t="s">
        <v>172</v>
      </c>
      <c r="U58" s="6">
        <v>2</v>
      </c>
      <c r="V58" s="6">
        <v>15</v>
      </c>
      <c r="W58" s="7">
        <v>2.5</v>
      </c>
      <c r="X58" s="7">
        <v>1.65</v>
      </c>
      <c r="Y58" s="14">
        <f t="shared" si="2"/>
        <v>2.5467749999999998</v>
      </c>
      <c r="Z58" s="12"/>
      <c r="AA58" s="15">
        <v>45590</v>
      </c>
      <c r="AB58" s="12"/>
      <c r="AC58" s="17">
        <v>45860</v>
      </c>
      <c r="AD58" s="18">
        <f t="shared" si="3"/>
        <v>9</v>
      </c>
      <c r="AE58" s="17">
        <v>45960</v>
      </c>
      <c r="AF58" s="18">
        <f t="shared" ref="AF58:AF59" ca="1" si="8">(TODAY()-AA58)/30</f>
        <v>15.733333333333333</v>
      </c>
      <c r="AG58" s="12">
        <f t="shared" si="4"/>
        <v>2024</v>
      </c>
      <c r="AH58" s="12">
        <f t="shared" si="5"/>
        <v>10</v>
      </c>
      <c r="AI58" s="12" t="s">
        <v>264</v>
      </c>
      <c r="AJ58" s="7" t="s">
        <v>186</v>
      </c>
      <c r="AK58" s="12"/>
      <c r="AL58" s="12"/>
      <c r="AM58" s="12" t="s">
        <v>261</v>
      </c>
    </row>
    <row r="59" spans="2:39" x14ac:dyDescent="0.35">
      <c r="B59" s="5" t="str">
        <f t="shared" si="0"/>
        <v>SC2024-La CameliaAZ11U</v>
      </c>
      <c r="C59" s="5" t="str">
        <f t="shared" si="1"/>
        <v>SC2024La CameliaAZ11U1</v>
      </c>
      <c r="D59" s="13" t="s">
        <v>265</v>
      </c>
      <c r="E59" t="s">
        <v>78</v>
      </c>
      <c r="F59" s="12">
        <v>2020</v>
      </c>
      <c r="G59" t="s">
        <v>259</v>
      </c>
      <c r="H59" t="s">
        <v>259</v>
      </c>
      <c r="I59" s="6" t="s">
        <v>112</v>
      </c>
      <c r="J59" s="6" t="s">
        <v>149</v>
      </c>
      <c r="K59" s="7" t="s">
        <v>154</v>
      </c>
      <c r="L59" s="7" t="s">
        <v>155</v>
      </c>
      <c r="M59" s="6" t="s">
        <v>238</v>
      </c>
      <c r="N59" s="6" t="s">
        <v>239</v>
      </c>
      <c r="O59" s="7">
        <v>1</v>
      </c>
      <c r="P59" s="7">
        <v>24</v>
      </c>
      <c r="Q59" s="6">
        <v>3</v>
      </c>
      <c r="R59" s="7">
        <v>24</v>
      </c>
      <c r="S59" s="7">
        <v>72</v>
      </c>
      <c r="T59" s="7" t="s">
        <v>174</v>
      </c>
      <c r="U59" s="7">
        <v>5</v>
      </c>
      <c r="V59" s="7">
        <v>30</v>
      </c>
      <c r="W59" s="7">
        <v>2.5</v>
      </c>
      <c r="X59" s="7">
        <v>1.65</v>
      </c>
      <c r="Y59" s="14">
        <f t="shared" si="2"/>
        <v>1.9305000000000001</v>
      </c>
      <c r="Z59" s="12"/>
      <c r="AA59" s="16">
        <v>45540</v>
      </c>
      <c r="AB59" s="12"/>
      <c r="AC59" s="17">
        <v>45810</v>
      </c>
      <c r="AD59" s="18">
        <f t="shared" si="3"/>
        <v>9</v>
      </c>
      <c r="AE59" s="17">
        <v>45910</v>
      </c>
      <c r="AF59" s="18">
        <f t="shared" ca="1" si="8"/>
        <v>17.399999999999999</v>
      </c>
      <c r="AG59" s="12">
        <f t="shared" si="4"/>
        <v>2024</v>
      </c>
      <c r="AH59" s="12">
        <f t="shared" si="5"/>
        <v>9</v>
      </c>
      <c r="AI59" s="12" t="s">
        <v>263</v>
      </c>
      <c r="AJ59" s="6" t="s">
        <v>177</v>
      </c>
      <c r="AK59" s="12"/>
      <c r="AL59" s="12"/>
      <c r="AM59" s="12" t="s">
        <v>261</v>
      </c>
    </row>
    <row r="60" spans="2:39" x14ac:dyDescent="0.35">
      <c r="B60" s="5" t="str">
        <f t="shared" si="0"/>
        <v>MY2023-El Pindo219</v>
      </c>
      <c r="C60" s="5" t="str">
        <f t="shared" si="1"/>
        <v>MY2023El Pindo2192</v>
      </c>
      <c r="D60" s="13" t="s">
        <v>265</v>
      </c>
      <c r="E60" t="s">
        <v>84</v>
      </c>
      <c r="F60" s="12">
        <v>2019</v>
      </c>
      <c r="G60" t="s">
        <v>259</v>
      </c>
      <c r="H60" t="s">
        <v>259</v>
      </c>
      <c r="I60" s="6" t="s">
        <v>112</v>
      </c>
      <c r="J60" s="6" t="s">
        <v>156</v>
      </c>
      <c r="K60" s="7" t="s">
        <v>157</v>
      </c>
      <c r="L60" s="7">
        <v>219</v>
      </c>
      <c r="M60" s="6" t="s">
        <v>240</v>
      </c>
      <c r="N60" s="6" t="s">
        <v>241</v>
      </c>
      <c r="O60" s="7">
        <v>2</v>
      </c>
      <c r="P60" s="7">
        <v>32</v>
      </c>
      <c r="Q60" s="6">
        <v>3</v>
      </c>
      <c r="R60" s="7">
        <v>32</v>
      </c>
      <c r="S60" s="7">
        <v>96</v>
      </c>
      <c r="T60" s="7" t="s">
        <v>174</v>
      </c>
      <c r="U60" s="7">
        <v>5</v>
      </c>
      <c r="V60" s="7">
        <v>30</v>
      </c>
      <c r="W60" s="7">
        <v>2.5</v>
      </c>
      <c r="X60" s="7">
        <v>1.65</v>
      </c>
      <c r="Y60" s="14">
        <f t="shared" si="2"/>
        <v>2.5739999999999998</v>
      </c>
      <c r="Z60" s="12"/>
      <c r="AA60" s="16">
        <v>45135</v>
      </c>
      <c r="AB60" s="16">
        <v>45520</v>
      </c>
      <c r="AC60" s="17">
        <v>45790</v>
      </c>
      <c r="AD60" s="18">
        <f t="shared" si="3"/>
        <v>21.833333333333332</v>
      </c>
      <c r="AE60" s="17">
        <v>45890</v>
      </c>
      <c r="AF60" s="18">
        <f t="shared" ca="1" si="6"/>
        <v>18.066666666666666</v>
      </c>
      <c r="AG60" s="12">
        <f t="shared" si="4"/>
        <v>2023</v>
      </c>
      <c r="AH60" s="12">
        <f t="shared" si="5"/>
        <v>7</v>
      </c>
      <c r="AI60" s="12" t="s">
        <v>262</v>
      </c>
      <c r="AJ60" s="6" t="s">
        <v>177</v>
      </c>
      <c r="AK60" s="12"/>
      <c r="AL60" s="12"/>
      <c r="AM60" s="12" t="s">
        <v>261</v>
      </c>
    </row>
    <row r="61" spans="2:39" x14ac:dyDescent="0.35">
      <c r="B61" s="5" t="str">
        <f t="shared" si="0"/>
        <v>CA2024-El Lago cauca3</v>
      </c>
      <c r="C61" s="5" t="str">
        <f t="shared" si="1"/>
        <v>CA2024El Lago cauca32</v>
      </c>
      <c r="D61" s="6" t="s">
        <v>265</v>
      </c>
      <c r="E61" t="s">
        <v>78</v>
      </c>
      <c r="F61" s="12" t="s">
        <v>106</v>
      </c>
      <c r="G61" t="s">
        <v>259</v>
      </c>
      <c r="H61" t="s">
        <v>101</v>
      </c>
      <c r="I61" s="6" t="s">
        <v>91</v>
      </c>
      <c r="J61" s="6" t="s">
        <v>144</v>
      </c>
      <c r="K61" s="7" t="s">
        <v>158</v>
      </c>
      <c r="L61" s="7">
        <v>3</v>
      </c>
      <c r="M61" s="6" t="s">
        <v>242</v>
      </c>
      <c r="N61" s="6" t="s">
        <v>243</v>
      </c>
      <c r="O61" s="6">
        <v>2</v>
      </c>
      <c r="P61" s="7">
        <v>42</v>
      </c>
      <c r="Q61" s="6">
        <v>3</v>
      </c>
      <c r="R61" s="7">
        <v>42</v>
      </c>
      <c r="S61" s="7">
        <v>42</v>
      </c>
      <c r="T61" s="7" t="s">
        <v>173</v>
      </c>
      <c r="U61" s="7">
        <v>3</v>
      </c>
      <c r="V61" s="7">
        <v>20</v>
      </c>
      <c r="W61" s="7">
        <v>2.5</v>
      </c>
      <c r="X61" s="7">
        <v>1.65</v>
      </c>
      <c r="Y61" s="14">
        <f t="shared" si="2"/>
        <v>0.467775</v>
      </c>
      <c r="Z61" s="12"/>
      <c r="AA61" s="16">
        <v>45478</v>
      </c>
      <c r="AB61" s="16">
        <v>45973</v>
      </c>
      <c r="AC61" s="17">
        <v>46243</v>
      </c>
      <c r="AD61" s="18">
        <f t="shared" si="3"/>
        <v>25.5</v>
      </c>
      <c r="AE61" s="17">
        <v>46343</v>
      </c>
      <c r="AF61" s="18">
        <f t="shared" ca="1" si="6"/>
        <v>2.9666666666666668</v>
      </c>
      <c r="AG61" s="12">
        <f t="shared" si="4"/>
        <v>2024</v>
      </c>
      <c r="AH61" s="12">
        <f t="shared" si="5"/>
        <v>7</v>
      </c>
      <c r="AI61" s="12" t="s">
        <v>264</v>
      </c>
      <c r="AJ61" s="6" t="s">
        <v>178</v>
      </c>
      <c r="AK61" s="12"/>
      <c r="AL61" s="12"/>
      <c r="AM61" s="12" t="s">
        <v>261</v>
      </c>
    </row>
    <row r="62" spans="2:39" x14ac:dyDescent="0.35">
      <c r="B62" s="5" t="str">
        <f t="shared" si="0"/>
        <v>CA2024-El Lago cauca2</v>
      </c>
      <c r="C62" s="5" t="str">
        <f t="shared" si="1"/>
        <v>CA2024El Lago cauca22</v>
      </c>
      <c r="D62" s="6" t="s">
        <v>265</v>
      </c>
      <c r="E62" t="s">
        <v>79</v>
      </c>
      <c r="F62" s="12">
        <v>2015</v>
      </c>
      <c r="G62" t="s">
        <v>259</v>
      </c>
      <c r="H62" t="s">
        <v>101</v>
      </c>
      <c r="I62" s="6" t="s">
        <v>112</v>
      </c>
      <c r="J62" s="6" t="s">
        <v>144</v>
      </c>
      <c r="K62" s="7" t="s">
        <v>158</v>
      </c>
      <c r="L62" s="7">
        <v>2</v>
      </c>
      <c r="M62" s="6" t="s">
        <v>244</v>
      </c>
      <c r="N62" s="6" t="s">
        <v>245</v>
      </c>
      <c r="O62" s="6">
        <v>2</v>
      </c>
      <c r="P62" s="7">
        <v>16</v>
      </c>
      <c r="Q62" s="6">
        <v>3</v>
      </c>
      <c r="R62" s="7">
        <v>16</v>
      </c>
      <c r="S62" s="7">
        <v>48</v>
      </c>
      <c r="T62" s="7" t="s">
        <v>174</v>
      </c>
      <c r="U62" s="6">
        <v>5</v>
      </c>
      <c r="V62" s="7">
        <v>110</v>
      </c>
      <c r="W62" s="7">
        <v>0</v>
      </c>
      <c r="X62" s="7">
        <v>1.65</v>
      </c>
      <c r="Y62" s="14">
        <f t="shared" si="2"/>
        <v>4.3559999999999999</v>
      </c>
      <c r="Z62" s="12"/>
      <c r="AA62" s="16">
        <v>45478</v>
      </c>
      <c r="AB62" s="16">
        <v>45973</v>
      </c>
      <c r="AC62" s="17">
        <v>46243</v>
      </c>
      <c r="AD62" s="18">
        <f t="shared" si="3"/>
        <v>25.5</v>
      </c>
      <c r="AE62" s="17">
        <v>46343</v>
      </c>
      <c r="AF62" s="18">
        <f t="shared" ca="1" si="6"/>
        <v>2.9666666666666668</v>
      </c>
      <c r="AG62" s="12">
        <f t="shared" si="4"/>
        <v>2024</v>
      </c>
      <c r="AH62" s="12">
        <f t="shared" si="5"/>
        <v>7</v>
      </c>
      <c r="AI62" s="12" t="s">
        <v>264</v>
      </c>
      <c r="AJ62" s="6" t="s">
        <v>177</v>
      </c>
      <c r="AK62" s="12"/>
      <c r="AL62" s="12"/>
      <c r="AM62" s="12" t="s">
        <v>261</v>
      </c>
    </row>
    <row r="63" spans="2:39" x14ac:dyDescent="0.35">
      <c r="B63" s="5" t="str">
        <f t="shared" si="0"/>
        <v>PR2024-Piedechinche38</v>
      </c>
      <c r="C63" s="5" t="str">
        <f t="shared" si="1"/>
        <v>PR2024Piedechinche382</v>
      </c>
      <c r="D63" s="6" t="s">
        <v>265</v>
      </c>
      <c r="E63" t="s">
        <v>78</v>
      </c>
      <c r="F63" s="12">
        <v>2020</v>
      </c>
      <c r="G63" t="s">
        <v>259</v>
      </c>
      <c r="H63" t="s">
        <v>259</v>
      </c>
      <c r="I63" s="6" t="s">
        <v>91</v>
      </c>
      <c r="J63" s="6" t="s">
        <v>120</v>
      </c>
      <c r="K63" s="7" t="s">
        <v>143</v>
      </c>
      <c r="L63" s="7">
        <v>38</v>
      </c>
      <c r="M63" s="6" t="s">
        <v>223</v>
      </c>
      <c r="N63" s="6" t="s">
        <v>246</v>
      </c>
      <c r="O63" s="6">
        <v>2</v>
      </c>
      <c r="P63" s="7">
        <v>23</v>
      </c>
      <c r="Q63" s="6">
        <v>3</v>
      </c>
      <c r="R63" s="7">
        <v>23</v>
      </c>
      <c r="S63" s="7">
        <v>23</v>
      </c>
      <c r="T63" s="7" t="s">
        <v>173</v>
      </c>
      <c r="U63" s="7">
        <v>4</v>
      </c>
      <c r="V63" s="7">
        <v>50</v>
      </c>
      <c r="W63" s="7">
        <v>2.5</v>
      </c>
      <c r="X63" s="7">
        <v>1.65</v>
      </c>
      <c r="Y63" s="14">
        <f t="shared" si="2"/>
        <v>0.79695000000000005</v>
      </c>
      <c r="Z63" s="12"/>
      <c r="AA63" s="16">
        <v>45465</v>
      </c>
      <c r="AB63" s="16">
        <v>45986</v>
      </c>
      <c r="AC63" s="17">
        <v>46256</v>
      </c>
      <c r="AD63" s="18">
        <f t="shared" si="3"/>
        <v>26.366666666666667</v>
      </c>
      <c r="AE63" s="17">
        <v>46356</v>
      </c>
      <c r="AF63" s="18">
        <f t="shared" ca="1" si="6"/>
        <v>2.5333333333333332</v>
      </c>
      <c r="AG63" s="12">
        <f t="shared" si="4"/>
        <v>2024</v>
      </c>
      <c r="AH63" s="12">
        <f t="shared" si="5"/>
        <v>6</v>
      </c>
      <c r="AI63" s="12" t="s">
        <v>264</v>
      </c>
      <c r="AJ63" s="6" t="s">
        <v>178</v>
      </c>
      <c r="AK63" s="12"/>
      <c r="AL63" s="12"/>
      <c r="AM63" s="12" t="s">
        <v>261</v>
      </c>
    </row>
    <row r="64" spans="2:39" x14ac:dyDescent="0.35">
      <c r="B64" s="5" t="str">
        <f t="shared" si="0"/>
        <v>PR2024-Piedechinche38</v>
      </c>
      <c r="C64" s="5" t="str">
        <f t="shared" si="1"/>
        <v>PR2024Piedechinche382</v>
      </c>
      <c r="D64" s="6" t="s">
        <v>265</v>
      </c>
      <c r="E64" t="s">
        <v>78</v>
      </c>
      <c r="F64" s="12">
        <v>2015</v>
      </c>
      <c r="G64" t="s">
        <v>259</v>
      </c>
      <c r="H64" t="s">
        <v>259</v>
      </c>
      <c r="I64" s="6" t="s">
        <v>91</v>
      </c>
      <c r="J64" s="6" t="s">
        <v>120</v>
      </c>
      <c r="K64" s="7" t="s">
        <v>143</v>
      </c>
      <c r="L64" s="7">
        <v>38</v>
      </c>
      <c r="M64" s="6" t="s">
        <v>223</v>
      </c>
      <c r="N64" s="6" t="s">
        <v>246</v>
      </c>
      <c r="O64" s="6">
        <v>2</v>
      </c>
      <c r="P64" s="7">
        <v>13</v>
      </c>
      <c r="Q64" s="6">
        <v>3</v>
      </c>
      <c r="R64" s="7">
        <v>13</v>
      </c>
      <c r="S64" s="7">
        <v>13</v>
      </c>
      <c r="T64" s="7" t="s">
        <v>173</v>
      </c>
      <c r="U64" s="7">
        <v>4</v>
      </c>
      <c r="V64" s="7">
        <v>50</v>
      </c>
      <c r="W64" s="7">
        <v>2.5</v>
      </c>
      <c r="X64" s="7">
        <v>1.65</v>
      </c>
      <c r="Y64" s="14">
        <f t="shared" si="2"/>
        <v>0.45045000000000002</v>
      </c>
      <c r="Z64" s="12"/>
      <c r="AA64" s="16">
        <v>45465</v>
      </c>
      <c r="AB64" s="16">
        <v>45986</v>
      </c>
      <c r="AC64" s="17">
        <v>46256</v>
      </c>
      <c r="AD64" s="18">
        <f t="shared" si="3"/>
        <v>26.366666666666667</v>
      </c>
      <c r="AE64" s="17">
        <v>46356</v>
      </c>
      <c r="AF64" s="18">
        <f t="shared" ca="1" si="6"/>
        <v>2.5333333333333332</v>
      </c>
      <c r="AG64" s="12">
        <f t="shared" si="4"/>
        <v>2024</v>
      </c>
      <c r="AH64" s="12">
        <f t="shared" si="5"/>
        <v>6</v>
      </c>
      <c r="AI64" s="12" t="s">
        <v>264</v>
      </c>
      <c r="AJ64" s="6" t="s">
        <v>178</v>
      </c>
      <c r="AK64" s="12"/>
      <c r="AL64" s="12"/>
      <c r="AM64" s="12" t="s">
        <v>261</v>
      </c>
    </row>
    <row r="65" spans="2:39" x14ac:dyDescent="0.35">
      <c r="B65" s="5" t="str">
        <f t="shared" si="0"/>
        <v>PR2024-Piedechinche38</v>
      </c>
      <c r="C65" s="5" t="str">
        <f t="shared" si="1"/>
        <v>PR2024Piedechinche382</v>
      </c>
      <c r="D65" s="6" t="s">
        <v>265</v>
      </c>
      <c r="E65" t="s">
        <v>78</v>
      </c>
      <c r="F65" s="12" t="s">
        <v>107</v>
      </c>
      <c r="G65" t="s">
        <v>259</v>
      </c>
      <c r="H65" t="s">
        <v>259</v>
      </c>
      <c r="I65" s="6" t="s">
        <v>91</v>
      </c>
      <c r="J65" s="6" t="s">
        <v>120</v>
      </c>
      <c r="K65" s="7" t="s">
        <v>143</v>
      </c>
      <c r="L65" s="7">
        <v>38</v>
      </c>
      <c r="M65" s="6" t="s">
        <v>223</v>
      </c>
      <c r="N65" s="6" t="s">
        <v>246</v>
      </c>
      <c r="O65" s="6">
        <v>2</v>
      </c>
      <c r="P65" s="7">
        <v>35</v>
      </c>
      <c r="Q65" s="6">
        <v>3</v>
      </c>
      <c r="R65" s="7">
        <v>35</v>
      </c>
      <c r="S65" s="7">
        <v>35</v>
      </c>
      <c r="T65" s="7" t="s">
        <v>173</v>
      </c>
      <c r="U65" s="7">
        <v>4</v>
      </c>
      <c r="V65" s="7">
        <v>5</v>
      </c>
      <c r="W65" s="7">
        <v>2.5</v>
      </c>
      <c r="X65" s="7">
        <v>1.65</v>
      </c>
      <c r="Y65" s="14">
        <f t="shared" si="2"/>
        <v>0.17324999999999999</v>
      </c>
      <c r="Z65" s="12"/>
      <c r="AA65" s="16">
        <v>45465</v>
      </c>
      <c r="AB65" s="16">
        <v>45986</v>
      </c>
      <c r="AC65" s="17">
        <v>46256</v>
      </c>
      <c r="AD65" s="18">
        <f t="shared" si="3"/>
        <v>26.366666666666667</v>
      </c>
      <c r="AE65" s="17">
        <v>46356</v>
      </c>
      <c r="AF65" s="18">
        <f t="shared" ca="1" si="6"/>
        <v>2.5333333333333332</v>
      </c>
      <c r="AG65" s="12">
        <f t="shared" si="4"/>
        <v>2024</v>
      </c>
      <c r="AH65" s="12">
        <f t="shared" si="5"/>
        <v>6</v>
      </c>
      <c r="AI65" s="12" t="s">
        <v>264</v>
      </c>
      <c r="AJ65" s="6" t="s">
        <v>178</v>
      </c>
      <c r="AK65" s="12"/>
      <c r="AL65" s="12"/>
      <c r="AM65" s="12" t="s">
        <v>261</v>
      </c>
    </row>
    <row r="66" spans="2:39" x14ac:dyDescent="0.35">
      <c r="B66" s="5" t="str">
        <f t="shared" si="0"/>
        <v>CC2022-La leona20</v>
      </c>
      <c r="C66" s="5" t="str">
        <f t="shared" si="1"/>
        <v>CC2022La leona203</v>
      </c>
      <c r="D66" s="13" t="s">
        <v>265</v>
      </c>
      <c r="E66" t="s">
        <v>108</v>
      </c>
      <c r="F66" s="12" t="s">
        <v>109</v>
      </c>
      <c r="G66" t="s">
        <v>259</v>
      </c>
      <c r="H66" t="s">
        <v>259</v>
      </c>
      <c r="I66" s="6" t="s">
        <v>91</v>
      </c>
      <c r="J66" s="7" t="s">
        <v>116</v>
      </c>
      <c r="K66" s="7" t="s">
        <v>159</v>
      </c>
      <c r="L66" s="7">
        <v>20</v>
      </c>
      <c r="M66" s="6" t="s">
        <v>218</v>
      </c>
      <c r="N66" s="6" t="s">
        <v>247</v>
      </c>
      <c r="O66" s="7">
        <v>3</v>
      </c>
      <c r="P66" s="7">
        <v>22</v>
      </c>
      <c r="Q66" s="6">
        <v>3</v>
      </c>
      <c r="R66" s="7">
        <v>22</v>
      </c>
      <c r="S66" s="7">
        <v>22</v>
      </c>
      <c r="T66" s="7" t="s">
        <v>173</v>
      </c>
      <c r="U66" s="7">
        <v>3</v>
      </c>
      <c r="V66" s="7">
        <v>100</v>
      </c>
      <c r="W66" s="7">
        <v>0</v>
      </c>
      <c r="X66" s="7">
        <v>1.65</v>
      </c>
      <c r="Y66" s="14">
        <f t="shared" si="2"/>
        <v>1.089</v>
      </c>
      <c r="Z66" s="12"/>
      <c r="AA66" s="16">
        <v>44915</v>
      </c>
      <c r="AB66" s="16">
        <v>45981</v>
      </c>
      <c r="AC66" s="17">
        <v>45733</v>
      </c>
      <c r="AD66" s="18">
        <f t="shared" si="3"/>
        <v>27.266666666666666</v>
      </c>
      <c r="AE66" s="17">
        <v>45833</v>
      </c>
      <c r="AF66" s="18">
        <f ca="1">(TODAY()-AB66)/30</f>
        <v>2.7</v>
      </c>
      <c r="AG66" s="12">
        <f t="shared" si="4"/>
        <v>2022</v>
      </c>
      <c r="AH66" s="12">
        <f t="shared" si="5"/>
        <v>12</v>
      </c>
      <c r="AI66" s="12" t="s">
        <v>264</v>
      </c>
      <c r="AJ66" s="6" t="s">
        <v>178</v>
      </c>
      <c r="AK66" s="12"/>
      <c r="AL66" s="12"/>
      <c r="AM66" s="12" t="s">
        <v>261</v>
      </c>
    </row>
    <row r="67" spans="2:39" x14ac:dyDescent="0.35">
      <c r="B67" s="5" t="str">
        <f t="shared" ref="B67:B87" si="9">J67&amp;AG67&amp;"-"&amp;K67&amp;L67</f>
        <v>PR2024-Piedechinche38</v>
      </c>
      <c r="C67" s="5" t="str">
        <f t="shared" ref="C67:C87" si="10">J67&amp;AG67&amp;K67&amp;L67&amp;O67</f>
        <v>PR2024Piedechinche382</v>
      </c>
      <c r="D67" s="6" t="s">
        <v>265</v>
      </c>
      <c r="E67" t="s">
        <v>79</v>
      </c>
      <c r="F67" s="12">
        <v>2015</v>
      </c>
      <c r="G67" t="s">
        <v>259</v>
      </c>
      <c r="H67" t="s">
        <v>259</v>
      </c>
      <c r="I67" s="6" t="s">
        <v>112</v>
      </c>
      <c r="J67" s="6" t="s">
        <v>120</v>
      </c>
      <c r="K67" s="7" t="s">
        <v>143</v>
      </c>
      <c r="L67" s="7">
        <v>38</v>
      </c>
      <c r="M67" s="6" t="s">
        <v>223</v>
      </c>
      <c r="N67" s="6" t="s">
        <v>246</v>
      </c>
      <c r="O67" s="6">
        <v>2</v>
      </c>
      <c r="P67" s="7">
        <v>16</v>
      </c>
      <c r="Q67" s="6">
        <v>3</v>
      </c>
      <c r="R67" s="7">
        <v>16</v>
      </c>
      <c r="S67" s="7">
        <v>48</v>
      </c>
      <c r="T67" s="7" t="s">
        <v>174</v>
      </c>
      <c r="U67" s="6">
        <v>5</v>
      </c>
      <c r="V67" s="7">
        <v>100</v>
      </c>
      <c r="W67" s="7">
        <v>0</v>
      </c>
      <c r="X67" s="7">
        <v>1.65</v>
      </c>
      <c r="Y67" s="14">
        <f t="shared" ref="Y67:Y87" si="11">(V67+W67)*U67*X67*S67/10000</f>
        <v>3.96</v>
      </c>
      <c r="Z67" s="12"/>
      <c r="AA67" s="16">
        <v>45463</v>
      </c>
      <c r="AB67" s="16">
        <v>45986</v>
      </c>
      <c r="AC67" s="17">
        <v>46256</v>
      </c>
      <c r="AD67" s="18">
        <f t="shared" ref="AD67:AD87" si="12">(AC67-AA67)/30</f>
        <v>26.433333333333334</v>
      </c>
      <c r="AE67" s="17">
        <v>46356</v>
      </c>
      <c r="AF67" s="18">
        <f t="shared" ca="1" si="6"/>
        <v>2.5333333333333332</v>
      </c>
      <c r="AG67" s="12">
        <f t="shared" ref="AG67:AG87" si="13">YEAR(AA67)</f>
        <v>2024</v>
      </c>
      <c r="AH67" s="12">
        <f t="shared" ref="AH67:AH87" si="14">MONTH(AA67)</f>
        <v>6</v>
      </c>
      <c r="AI67" s="12" t="s">
        <v>264</v>
      </c>
      <c r="AJ67" s="6" t="s">
        <v>177</v>
      </c>
      <c r="AK67" s="12"/>
      <c r="AL67" s="12"/>
      <c r="AM67" s="12" t="s">
        <v>261</v>
      </c>
    </row>
    <row r="68" spans="2:39" x14ac:dyDescent="0.35">
      <c r="B68" s="5" t="str">
        <f t="shared" si="9"/>
        <v>PR2024-Piedechinche38</v>
      </c>
      <c r="C68" s="5" t="str">
        <f t="shared" si="10"/>
        <v>PR2024Piedechinche382</v>
      </c>
      <c r="D68" s="6" t="s">
        <v>86</v>
      </c>
      <c r="E68" t="s">
        <v>86</v>
      </c>
      <c r="F68" s="12" t="s">
        <v>87</v>
      </c>
      <c r="G68" t="s">
        <v>259</v>
      </c>
      <c r="H68" t="s">
        <v>259</v>
      </c>
      <c r="I68" s="6" t="s">
        <v>91</v>
      </c>
      <c r="J68" s="6" t="s">
        <v>120</v>
      </c>
      <c r="K68" s="7" t="s">
        <v>143</v>
      </c>
      <c r="L68" s="7">
        <v>38</v>
      </c>
      <c r="M68" s="6" t="s">
        <v>223</v>
      </c>
      <c r="N68" s="6" t="s">
        <v>246</v>
      </c>
      <c r="O68" s="6">
        <v>2</v>
      </c>
      <c r="P68" s="7">
        <v>126</v>
      </c>
      <c r="Q68" s="6">
        <v>3</v>
      </c>
      <c r="R68" s="7">
        <v>126</v>
      </c>
      <c r="S68" s="7">
        <v>130</v>
      </c>
      <c r="T68" s="7" t="s">
        <v>173</v>
      </c>
      <c r="U68" s="7">
        <v>1</v>
      </c>
      <c r="V68" s="7">
        <v>9</v>
      </c>
      <c r="W68" s="7">
        <v>2.5</v>
      </c>
      <c r="X68" s="7">
        <v>1.65</v>
      </c>
      <c r="Y68" s="14">
        <f t="shared" si="11"/>
        <v>0.24667499999999995</v>
      </c>
      <c r="Z68" s="12"/>
      <c r="AA68" s="16">
        <v>45461</v>
      </c>
      <c r="AB68" s="16">
        <v>45986</v>
      </c>
      <c r="AC68" s="17">
        <v>46256</v>
      </c>
      <c r="AD68" s="18">
        <f t="shared" si="12"/>
        <v>26.5</v>
      </c>
      <c r="AE68" s="17">
        <v>46356</v>
      </c>
      <c r="AF68" s="18">
        <f t="shared" ref="AF68:AF74" ca="1" si="15">(TODAY()-AB68)/30</f>
        <v>2.5333333333333332</v>
      </c>
      <c r="AG68" s="12">
        <f t="shared" si="13"/>
        <v>2024</v>
      </c>
      <c r="AH68" s="12">
        <f t="shared" si="14"/>
        <v>6</v>
      </c>
      <c r="AI68" s="12" t="s">
        <v>264</v>
      </c>
      <c r="AJ68" s="6" t="s">
        <v>178</v>
      </c>
      <c r="AK68" s="12"/>
      <c r="AL68" s="12"/>
      <c r="AM68" s="12" t="s">
        <v>261</v>
      </c>
    </row>
    <row r="69" spans="2:39" x14ac:dyDescent="0.35">
      <c r="B69" s="5" t="str">
        <f t="shared" si="9"/>
        <v>PR2024-Piedechinche38</v>
      </c>
      <c r="C69" s="5" t="str">
        <f t="shared" si="10"/>
        <v>PR2024Piedechinche382</v>
      </c>
      <c r="D69" s="6" t="s">
        <v>265</v>
      </c>
      <c r="E69" t="s">
        <v>78</v>
      </c>
      <c r="F69" s="12" t="s">
        <v>102</v>
      </c>
      <c r="G69" t="s">
        <v>259</v>
      </c>
      <c r="H69" t="s">
        <v>259</v>
      </c>
      <c r="I69" s="6" t="s">
        <v>112</v>
      </c>
      <c r="J69" s="6" t="s">
        <v>120</v>
      </c>
      <c r="K69" s="7" t="s">
        <v>143</v>
      </c>
      <c r="L69" s="7">
        <v>38</v>
      </c>
      <c r="M69" s="6" t="s">
        <v>223</v>
      </c>
      <c r="N69" s="6" t="s">
        <v>246</v>
      </c>
      <c r="O69" s="6">
        <v>2</v>
      </c>
      <c r="P69" s="7">
        <v>15</v>
      </c>
      <c r="Q69" s="6">
        <v>3</v>
      </c>
      <c r="R69" s="7">
        <v>15</v>
      </c>
      <c r="S69" s="7">
        <v>30</v>
      </c>
      <c r="T69" s="7" t="s">
        <v>174</v>
      </c>
      <c r="U69" s="7">
        <v>5</v>
      </c>
      <c r="V69" s="7">
        <v>100</v>
      </c>
      <c r="W69" s="7">
        <v>0</v>
      </c>
      <c r="X69" s="7">
        <v>1.65</v>
      </c>
      <c r="Y69" s="14">
        <f t="shared" si="11"/>
        <v>2.4750000000000001</v>
      </c>
      <c r="Z69" s="12"/>
      <c r="AA69" s="16">
        <v>45458</v>
      </c>
      <c r="AB69" s="16">
        <v>45986</v>
      </c>
      <c r="AC69" s="17">
        <v>46256</v>
      </c>
      <c r="AD69" s="18">
        <f t="shared" si="12"/>
        <v>26.6</v>
      </c>
      <c r="AE69" s="17">
        <v>46356</v>
      </c>
      <c r="AF69" s="18">
        <f t="shared" ca="1" si="15"/>
        <v>2.5333333333333332</v>
      </c>
      <c r="AG69" s="12">
        <f t="shared" si="13"/>
        <v>2024</v>
      </c>
      <c r="AH69" s="12">
        <f t="shared" si="14"/>
        <v>6</v>
      </c>
      <c r="AI69" s="12" t="s">
        <v>264</v>
      </c>
      <c r="AJ69" s="6" t="s">
        <v>177</v>
      </c>
      <c r="AK69" s="12"/>
      <c r="AL69" s="12"/>
      <c r="AM69" s="12" t="s">
        <v>261</v>
      </c>
    </row>
    <row r="70" spans="2:39" x14ac:dyDescent="0.35">
      <c r="B70" s="5" t="str">
        <f t="shared" si="9"/>
        <v>PR2024-Piedechinche38</v>
      </c>
      <c r="C70" s="5" t="str">
        <f t="shared" si="10"/>
        <v>PR2024Piedechinche382</v>
      </c>
      <c r="D70" s="13" t="s">
        <v>265</v>
      </c>
      <c r="E70" t="s">
        <v>78</v>
      </c>
      <c r="F70" s="12">
        <v>2020</v>
      </c>
      <c r="G70" t="s">
        <v>259</v>
      </c>
      <c r="H70" t="s">
        <v>259</v>
      </c>
      <c r="I70" s="6" t="s">
        <v>112</v>
      </c>
      <c r="J70" s="6" t="s">
        <v>120</v>
      </c>
      <c r="K70" s="7" t="s">
        <v>143</v>
      </c>
      <c r="L70" s="7">
        <v>38</v>
      </c>
      <c r="M70" s="6" t="s">
        <v>223</v>
      </c>
      <c r="N70" s="6" t="s">
        <v>246</v>
      </c>
      <c r="O70" s="6">
        <v>2</v>
      </c>
      <c r="P70" s="7">
        <v>24</v>
      </c>
      <c r="Q70" s="6">
        <v>3</v>
      </c>
      <c r="R70" s="7">
        <v>24</v>
      </c>
      <c r="S70" s="7">
        <v>72</v>
      </c>
      <c r="T70" s="7" t="s">
        <v>174</v>
      </c>
      <c r="U70" s="7">
        <v>5</v>
      </c>
      <c r="V70" s="7">
        <v>40</v>
      </c>
      <c r="W70" s="7">
        <v>2.5</v>
      </c>
      <c r="X70" s="7">
        <v>1.65</v>
      </c>
      <c r="Y70" s="14">
        <f t="shared" si="11"/>
        <v>2.5245000000000002</v>
      </c>
      <c r="Z70" s="12"/>
      <c r="AA70" s="16">
        <v>45457</v>
      </c>
      <c r="AB70" s="16">
        <v>45986</v>
      </c>
      <c r="AC70" s="17">
        <v>46256</v>
      </c>
      <c r="AD70" s="18">
        <f t="shared" si="12"/>
        <v>26.633333333333333</v>
      </c>
      <c r="AE70" s="17">
        <v>46356</v>
      </c>
      <c r="AF70" s="18">
        <f t="shared" ca="1" si="15"/>
        <v>2.5333333333333332</v>
      </c>
      <c r="AG70" s="12">
        <f t="shared" si="13"/>
        <v>2024</v>
      </c>
      <c r="AH70" s="12">
        <f t="shared" si="14"/>
        <v>6</v>
      </c>
      <c r="AI70" s="12" t="s">
        <v>264</v>
      </c>
      <c r="AJ70" s="6" t="s">
        <v>177</v>
      </c>
      <c r="AK70" s="12"/>
      <c r="AL70" s="12"/>
      <c r="AM70" s="12" t="s">
        <v>261</v>
      </c>
    </row>
    <row r="71" spans="2:39" x14ac:dyDescent="0.35">
      <c r="B71" s="5" t="str">
        <f t="shared" si="9"/>
        <v>MN2022-Florencia210</v>
      </c>
      <c r="C71" s="5" t="str">
        <f t="shared" si="10"/>
        <v>MN2022Florencia2104</v>
      </c>
      <c r="D71" s="6" t="s">
        <v>89</v>
      </c>
      <c r="E71" t="s">
        <v>89</v>
      </c>
      <c r="F71" s="12" t="s">
        <v>90</v>
      </c>
      <c r="G71" t="s">
        <v>259</v>
      </c>
      <c r="H71" t="s">
        <v>259</v>
      </c>
      <c r="I71" s="6" t="s">
        <v>112</v>
      </c>
      <c r="J71" s="6" t="s">
        <v>137</v>
      </c>
      <c r="K71" s="6" t="s">
        <v>160</v>
      </c>
      <c r="L71" s="6">
        <v>210</v>
      </c>
      <c r="M71" s="6" t="s">
        <v>248</v>
      </c>
      <c r="N71" s="6" t="s">
        <v>249</v>
      </c>
      <c r="O71" s="6">
        <v>4</v>
      </c>
      <c r="P71" s="6">
        <v>509</v>
      </c>
      <c r="Q71" s="6">
        <v>3</v>
      </c>
      <c r="R71" s="6">
        <v>509</v>
      </c>
      <c r="S71" s="6">
        <v>644</v>
      </c>
      <c r="T71" s="6" t="s">
        <v>175</v>
      </c>
      <c r="U71" s="6">
        <v>2</v>
      </c>
      <c r="V71" s="6">
        <v>12</v>
      </c>
      <c r="W71" s="7">
        <v>2.5</v>
      </c>
      <c r="X71" s="7">
        <v>1.65</v>
      </c>
      <c r="Y71" s="14">
        <f t="shared" si="11"/>
        <v>3.0815399999999999</v>
      </c>
      <c r="Z71" s="12"/>
      <c r="AA71" s="15">
        <v>44638</v>
      </c>
      <c r="AB71" s="15">
        <v>45868</v>
      </c>
      <c r="AC71" s="17">
        <v>45724</v>
      </c>
      <c r="AD71" s="18">
        <f t="shared" si="12"/>
        <v>36.200000000000003</v>
      </c>
      <c r="AE71" s="17">
        <v>45824</v>
      </c>
      <c r="AF71" s="18">
        <f t="shared" ca="1" si="15"/>
        <v>6.4666666666666668</v>
      </c>
      <c r="AG71" s="12">
        <f t="shared" si="13"/>
        <v>2022</v>
      </c>
      <c r="AH71" s="12">
        <f t="shared" si="14"/>
        <v>3</v>
      </c>
      <c r="AI71" s="12" t="s">
        <v>264</v>
      </c>
      <c r="AJ71" s="6" t="s">
        <v>191</v>
      </c>
      <c r="AK71" s="12"/>
      <c r="AL71" s="12"/>
      <c r="AM71" s="12" t="s">
        <v>261</v>
      </c>
    </row>
    <row r="72" spans="2:39" x14ac:dyDescent="0.35">
      <c r="B72" s="5" t="str">
        <f t="shared" si="9"/>
        <v>MN2022-Florencia210</v>
      </c>
      <c r="C72" s="5" t="str">
        <f t="shared" si="10"/>
        <v>MN2022Florencia2104</v>
      </c>
      <c r="D72" s="6" t="s">
        <v>89</v>
      </c>
      <c r="E72" t="s">
        <v>89</v>
      </c>
      <c r="F72" s="12" t="s">
        <v>90</v>
      </c>
      <c r="G72" t="s">
        <v>259</v>
      </c>
      <c r="H72" t="s">
        <v>259</v>
      </c>
      <c r="I72" s="6" t="s">
        <v>112</v>
      </c>
      <c r="J72" s="6" t="s">
        <v>137</v>
      </c>
      <c r="K72" s="6" t="s">
        <v>160</v>
      </c>
      <c r="L72" s="6">
        <v>210</v>
      </c>
      <c r="M72" s="6" t="s">
        <v>248</v>
      </c>
      <c r="N72" s="6" t="s">
        <v>249</v>
      </c>
      <c r="O72" s="6">
        <v>4</v>
      </c>
      <c r="P72" s="6">
        <v>170</v>
      </c>
      <c r="Q72" s="6">
        <v>3</v>
      </c>
      <c r="R72" s="6">
        <v>170</v>
      </c>
      <c r="S72" s="6">
        <v>510</v>
      </c>
      <c r="T72" s="6" t="s">
        <v>174</v>
      </c>
      <c r="U72" s="6">
        <v>2</v>
      </c>
      <c r="V72" s="6">
        <v>12</v>
      </c>
      <c r="W72" s="7">
        <v>2.5</v>
      </c>
      <c r="X72" s="7">
        <v>1.65</v>
      </c>
      <c r="Y72" s="14">
        <f t="shared" si="11"/>
        <v>2.4403499999999996</v>
      </c>
      <c r="Z72" s="12"/>
      <c r="AA72" s="15">
        <v>44638</v>
      </c>
      <c r="AB72" s="15">
        <v>45868</v>
      </c>
      <c r="AC72" s="17">
        <v>45724</v>
      </c>
      <c r="AD72" s="18">
        <f t="shared" si="12"/>
        <v>36.200000000000003</v>
      </c>
      <c r="AE72" s="17">
        <v>45824</v>
      </c>
      <c r="AF72" s="18">
        <f t="shared" ca="1" si="15"/>
        <v>6.4666666666666668</v>
      </c>
      <c r="AG72" s="12">
        <f t="shared" si="13"/>
        <v>2022</v>
      </c>
      <c r="AH72" s="12">
        <f t="shared" si="14"/>
        <v>3</v>
      </c>
      <c r="AI72" s="12" t="s">
        <v>264</v>
      </c>
      <c r="AJ72" s="6" t="s">
        <v>191</v>
      </c>
      <c r="AK72" s="12"/>
      <c r="AL72" s="12"/>
      <c r="AM72" s="12" t="s">
        <v>261</v>
      </c>
    </row>
    <row r="73" spans="2:39" x14ac:dyDescent="0.35">
      <c r="B73" s="5" t="str">
        <f t="shared" si="9"/>
        <v>PR2024-Piedechinche38</v>
      </c>
      <c r="C73" s="5" t="str">
        <f t="shared" si="10"/>
        <v>PR2024Piedechinche382</v>
      </c>
      <c r="D73" s="13" t="s">
        <v>265</v>
      </c>
      <c r="E73" t="s">
        <v>82</v>
      </c>
      <c r="F73" s="12">
        <v>2023</v>
      </c>
      <c r="G73" t="s">
        <v>259</v>
      </c>
      <c r="H73" t="s">
        <v>259</v>
      </c>
      <c r="I73" s="6" t="s">
        <v>112</v>
      </c>
      <c r="J73" s="6" t="s">
        <v>120</v>
      </c>
      <c r="K73" s="7" t="s">
        <v>143</v>
      </c>
      <c r="L73" s="7">
        <v>38</v>
      </c>
      <c r="M73" s="6" t="s">
        <v>223</v>
      </c>
      <c r="N73" s="6" t="s">
        <v>246</v>
      </c>
      <c r="O73" s="6">
        <v>2</v>
      </c>
      <c r="P73" s="7">
        <v>264</v>
      </c>
      <c r="Q73" s="6">
        <v>3</v>
      </c>
      <c r="R73" s="7">
        <v>264</v>
      </c>
      <c r="S73" s="7">
        <v>528</v>
      </c>
      <c r="T73" s="7" t="s">
        <v>174</v>
      </c>
      <c r="U73" s="7">
        <v>2</v>
      </c>
      <c r="V73" s="7">
        <v>13</v>
      </c>
      <c r="W73" s="7">
        <v>2.5</v>
      </c>
      <c r="X73" s="7">
        <v>1.65</v>
      </c>
      <c r="Y73" s="14">
        <f t="shared" si="11"/>
        <v>2.70072</v>
      </c>
      <c r="Z73" s="12"/>
      <c r="AA73" s="16">
        <v>45453</v>
      </c>
      <c r="AB73" s="16">
        <v>45986</v>
      </c>
      <c r="AC73" s="17">
        <v>46256</v>
      </c>
      <c r="AD73" s="18">
        <f t="shared" si="12"/>
        <v>26.766666666666666</v>
      </c>
      <c r="AE73" s="17">
        <v>46356</v>
      </c>
      <c r="AF73" s="18">
        <f t="shared" ca="1" si="15"/>
        <v>2.5333333333333332</v>
      </c>
      <c r="AG73" s="12">
        <f t="shared" si="13"/>
        <v>2024</v>
      </c>
      <c r="AH73" s="12">
        <f t="shared" si="14"/>
        <v>6</v>
      </c>
      <c r="AI73" s="12" t="s">
        <v>264</v>
      </c>
      <c r="AJ73" s="6" t="s">
        <v>177</v>
      </c>
      <c r="AK73" s="12"/>
      <c r="AL73" s="12"/>
      <c r="AM73" s="12" t="s">
        <v>261</v>
      </c>
    </row>
    <row r="74" spans="2:39" x14ac:dyDescent="0.35">
      <c r="B74" s="5" t="str">
        <f t="shared" si="9"/>
        <v>PR2024-Piedechinche38</v>
      </c>
      <c r="C74" s="5" t="str">
        <f t="shared" si="10"/>
        <v>PR2024Piedechinche382</v>
      </c>
      <c r="D74" s="13" t="s">
        <v>265</v>
      </c>
      <c r="E74" t="s">
        <v>82</v>
      </c>
      <c r="F74" s="12">
        <v>2023</v>
      </c>
      <c r="G74" t="s">
        <v>259</v>
      </c>
      <c r="H74" t="s">
        <v>259</v>
      </c>
      <c r="I74" s="6" t="s">
        <v>112</v>
      </c>
      <c r="J74" s="6" t="s">
        <v>120</v>
      </c>
      <c r="K74" s="7" t="s">
        <v>143</v>
      </c>
      <c r="L74" s="7">
        <v>38</v>
      </c>
      <c r="M74" s="6" t="s">
        <v>223</v>
      </c>
      <c r="N74" s="6" t="s">
        <v>246</v>
      </c>
      <c r="O74" s="6">
        <v>2</v>
      </c>
      <c r="P74" s="7">
        <v>280</v>
      </c>
      <c r="Q74" s="6">
        <v>3</v>
      </c>
      <c r="R74" s="7">
        <v>280</v>
      </c>
      <c r="S74" s="7">
        <v>560</v>
      </c>
      <c r="T74" s="7" t="s">
        <v>174</v>
      </c>
      <c r="U74" s="7">
        <v>2</v>
      </c>
      <c r="V74" s="7">
        <v>13</v>
      </c>
      <c r="W74" s="7">
        <v>2.5</v>
      </c>
      <c r="X74" s="7">
        <v>1.65</v>
      </c>
      <c r="Y74" s="14">
        <f t="shared" si="11"/>
        <v>2.8643999999999998</v>
      </c>
      <c r="Z74" s="12"/>
      <c r="AA74" s="16">
        <v>45444</v>
      </c>
      <c r="AB74" s="16">
        <v>45986</v>
      </c>
      <c r="AC74" s="17">
        <v>46256</v>
      </c>
      <c r="AD74" s="18">
        <f t="shared" si="12"/>
        <v>27.066666666666666</v>
      </c>
      <c r="AE74" s="17">
        <v>46356</v>
      </c>
      <c r="AF74" s="18">
        <f t="shared" ca="1" si="15"/>
        <v>2.5333333333333332</v>
      </c>
      <c r="AG74" s="12">
        <f t="shared" si="13"/>
        <v>2024</v>
      </c>
      <c r="AH74" s="12">
        <f t="shared" si="14"/>
        <v>6</v>
      </c>
      <c r="AI74" s="12" t="s">
        <v>264</v>
      </c>
      <c r="AJ74" s="6" t="s">
        <v>177</v>
      </c>
      <c r="AK74" s="12"/>
      <c r="AL74" s="12"/>
      <c r="AM74" s="12" t="s">
        <v>261</v>
      </c>
    </row>
    <row r="75" spans="2:39" x14ac:dyDescent="0.35">
      <c r="B75" s="5" t="str">
        <f t="shared" si="9"/>
        <v>MN2024-Cabaña8B</v>
      </c>
      <c r="C75" s="5" t="str">
        <f t="shared" si="10"/>
        <v>MN2024Cabaña8B2</v>
      </c>
      <c r="D75" s="6" t="s">
        <v>97</v>
      </c>
      <c r="E75" t="s">
        <v>97</v>
      </c>
      <c r="G75" t="s">
        <v>259</v>
      </c>
      <c r="H75" t="s">
        <v>259</v>
      </c>
      <c r="I75" t="s">
        <v>91</v>
      </c>
      <c r="J75" s="6" t="s">
        <v>137</v>
      </c>
      <c r="K75" s="7" t="s">
        <v>138</v>
      </c>
      <c r="L75" s="12" t="s">
        <v>161</v>
      </c>
      <c r="M75" s="6" t="s">
        <v>242</v>
      </c>
      <c r="N75" s="6" t="s">
        <v>219</v>
      </c>
      <c r="O75" s="7">
        <v>2</v>
      </c>
      <c r="P75" s="7">
        <v>1600</v>
      </c>
      <c r="Q75" s="6">
        <v>3</v>
      </c>
      <c r="R75" s="7">
        <v>1600</v>
      </c>
      <c r="S75" s="7">
        <v>1676</v>
      </c>
      <c r="T75" s="7" t="s">
        <v>173</v>
      </c>
      <c r="U75" s="7">
        <v>1</v>
      </c>
      <c r="V75" s="7">
        <v>10</v>
      </c>
      <c r="W75" s="7">
        <v>2.5</v>
      </c>
      <c r="X75" s="7">
        <v>1.65</v>
      </c>
      <c r="Y75" s="14">
        <f t="shared" si="11"/>
        <v>3.45675</v>
      </c>
      <c r="Z75" s="12"/>
      <c r="AA75" s="17">
        <v>45423</v>
      </c>
      <c r="AB75" s="17">
        <v>45991</v>
      </c>
      <c r="AC75" s="17">
        <v>46280</v>
      </c>
      <c r="AD75" s="18">
        <f t="shared" si="12"/>
        <v>28.566666666666666</v>
      </c>
      <c r="AE75" s="17">
        <v>46342</v>
      </c>
      <c r="AF75" s="18">
        <f ca="1">(TODAY()-AB75)/30</f>
        <v>2.3666666666666667</v>
      </c>
      <c r="AG75" s="12">
        <f t="shared" si="13"/>
        <v>2024</v>
      </c>
      <c r="AH75" s="12">
        <f t="shared" si="14"/>
        <v>5</v>
      </c>
      <c r="AI75" s="12" t="s">
        <v>264</v>
      </c>
      <c r="AJ75" s="6" t="s">
        <v>178</v>
      </c>
      <c r="AK75" s="12"/>
      <c r="AL75" s="12"/>
      <c r="AM75" s="12" t="s">
        <v>261</v>
      </c>
    </row>
    <row r="76" spans="2:39" x14ac:dyDescent="0.35">
      <c r="B76" s="5" t="str">
        <f t="shared" si="9"/>
        <v>MN2024-Cabaña8B</v>
      </c>
      <c r="C76" s="5" t="str">
        <f t="shared" si="10"/>
        <v>MN2024Cabaña8B2</v>
      </c>
      <c r="D76" s="6" t="s">
        <v>265</v>
      </c>
      <c r="E76" t="s">
        <v>78</v>
      </c>
      <c r="F76" s="12">
        <v>2020</v>
      </c>
      <c r="G76" t="s">
        <v>259</v>
      </c>
      <c r="H76" t="s">
        <v>259</v>
      </c>
      <c r="I76" t="s">
        <v>91</v>
      </c>
      <c r="J76" s="6" t="s">
        <v>137</v>
      </c>
      <c r="K76" s="7" t="s">
        <v>138</v>
      </c>
      <c r="L76" s="12" t="s">
        <v>161</v>
      </c>
      <c r="M76" s="6" t="s">
        <v>242</v>
      </c>
      <c r="N76" s="6" t="s">
        <v>219</v>
      </c>
      <c r="O76" s="7">
        <v>2</v>
      </c>
      <c r="P76" s="7">
        <v>24</v>
      </c>
      <c r="Q76" s="6">
        <v>3</v>
      </c>
      <c r="R76" s="7">
        <v>24</v>
      </c>
      <c r="S76" s="7">
        <v>24</v>
      </c>
      <c r="T76" s="7" t="s">
        <v>173</v>
      </c>
      <c r="U76" s="7">
        <v>4</v>
      </c>
      <c r="V76" s="7">
        <v>20</v>
      </c>
      <c r="W76" s="7">
        <v>2.5</v>
      </c>
      <c r="X76" s="7">
        <v>1.65</v>
      </c>
      <c r="Y76" s="14">
        <f t="shared" si="11"/>
        <v>0.35639999999999999</v>
      </c>
      <c r="Z76" s="12"/>
      <c r="AA76" s="17">
        <v>45423</v>
      </c>
      <c r="AB76" s="17">
        <v>45991</v>
      </c>
      <c r="AC76" s="17">
        <v>46281</v>
      </c>
      <c r="AD76" s="18">
        <f t="shared" si="12"/>
        <v>28.6</v>
      </c>
      <c r="AE76" s="17">
        <v>46342</v>
      </c>
      <c r="AF76" s="18">
        <f t="shared" ref="AF76:AF77" ca="1" si="16">(TODAY()-AB76)/30</f>
        <v>2.3666666666666667</v>
      </c>
      <c r="AG76" s="12">
        <f t="shared" si="13"/>
        <v>2024</v>
      </c>
      <c r="AH76" s="12">
        <f t="shared" si="14"/>
        <v>5</v>
      </c>
      <c r="AI76" s="12" t="s">
        <v>264</v>
      </c>
      <c r="AJ76" s="6" t="s">
        <v>178</v>
      </c>
      <c r="AK76" s="12"/>
      <c r="AL76" s="12"/>
      <c r="AM76" s="12" t="s">
        <v>261</v>
      </c>
    </row>
    <row r="77" spans="2:39" x14ac:dyDescent="0.35">
      <c r="B77" s="5" t="str">
        <f t="shared" si="9"/>
        <v>MN2024-Cabaña8B</v>
      </c>
      <c r="C77" s="5" t="str">
        <f t="shared" si="10"/>
        <v>MN2024Cabaña8B2</v>
      </c>
      <c r="D77" s="6" t="s">
        <v>265</v>
      </c>
      <c r="E77" t="s">
        <v>78</v>
      </c>
      <c r="F77" s="12">
        <v>2020</v>
      </c>
      <c r="G77" t="s">
        <v>259</v>
      </c>
      <c r="H77" t="s">
        <v>259</v>
      </c>
      <c r="I77" t="s">
        <v>112</v>
      </c>
      <c r="J77" s="6" t="s">
        <v>137</v>
      </c>
      <c r="K77" s="7" t="s">
        <v>138</v>
      </c>
      <c r="L77" s="12" t="s">
        <v>161</v>
      </c>
      <c r="M77" s="6" t="s">
        <v>242</v>
      </c>
      <c r="N77" s="6" t="s">
        <v>219</v>
      </c>
      <c r="O77" s="7">
        <v>2</v>
      </c>
      <c r="P77" s="7">
        <v>24</v>
      </c>
      <c r="Q77" s="6">
        <v>3</v>
      </c>
      <c r="R77" s="7">
        <v>24</v>
      </c>
      <c r="S77" s="7">
        <v>72</v>
      </c>
      <c r="T77" s="7" t="s">
        <v>174</v>
      </c>
      <c r="U77" s="7">
        <v>5</v>
      </c>
      <c r="V77" s="7">
        <v>70</v>
      </c>
      <c r="W77" s="7">
        <v>2.5</v>
      </c>
      <c r="X77" s="7">
        <v>1.65</v>
      </c>
      <c r="Y77" s="14">
        <f t="shared" si="11"/>
        <v>4.3064999999999998</v>
      </c>
      <c r="Z77" s="12"/>
      <c r="AA77" s="17">
        <v>45423</v>
      </c>
      <c r="AB77" s="17">
        <v>45991</v>
      </c>
      <c r="AC77" s="17">
        <v>46282</v>
      </c>
      <c r="AD77" s="18">
        <f t="shared" si="12"/>
        <v>28.633333333333333</v>
      </c>
      <c r="AE77" s="17">
        <v>46342</v>
      </c>
      <c r="AF77" s="18">
        <f t="shared" ca="1" si="16"/>
        <v>2.3666666666666667</v>
      </c>
      <c r="AG77" s="12">
        <f t="shared" si="13"/>
        <v>2024</v>
      </c>
      <c r="AH77" s="12">
        <f t="shared" si="14"/>
        <v>5</v>
      </c>
      <c r="AI77" s="12" t="s">
        <v>264</v>
      </c>
      <c r="AJ77" s="6" t="s">
        <v>177</v>
      </c>
      <c r="AK77" s="12"/>
      <c r="AL77" s="12"/>
      <c r="AM77" s="12" t="s">
        <v>261</v>
      </c>
    </row>
    <row r="78" spans="2:39" x14ac:dyDescent="0.35">
      <c r="B78" s="5" t="str">
        <f t="shared" si="9"/>
        <v>MY2024-La Aurora2A</v>
      </c>
      <c r="C78" s="5" t="str">
        <f t="shared" si="10"/>
        <v>MY2024La Aurora2A2</v>
      </c>
      <c r="D78" s="13" t="s">
        <v>268</v>
      </c>
      <c r="E78" t="s">
        <v>103</v>
      </c>
      <c r="F78" s="12" t="s">
        <v>104</v>
      </c>
      <c r="G78" t="s">
        <v>259</v>
      </c>
      <c r="H78" t="s">
        <v>259</v>
      </c>
      <c r="I78" s="6" t="s">
        <v>115</v>
      </c>
      <c r="J78" s="6" t="s">
        <v>156</v>
      </c>
      <c r="K78" s="6" t="s">
        <v>123</v>
      </c>
      <c r="L78" s="6" t="s">
        <v>162</v>
      </c>
      <c r="M78" s="6" t="s">
        <v>250</v>
      </c>
      <c r="N78" s="6" t="s">
        <v>251</v>
      </c>
      <c r="O78" s="6">
        <v>2</v>
      </c>
      <c r="P78" s="6">
        <v>800</v>
      </c>
      <c r="Q78" s="6">
        <v>3</v>
      </c>
      <c r="R78" s="6">
        <v>800</v>
      </c>
      <c r="S78" s="6">
        <v>950</v>
      </c>
      <c r="T78" s="6" t="s">
        <v>175</v>
      </c>
      <c r="U78" s="6">
        <v>2</v>
      </c>
      <c r="V78" s="6">
        <v>15</v>
      </c>
      <c r="W78" s="7">
        <v>2.5</v>
      </c>
      <c r="X78" s="7">
        <v>1.65</v>
      </c>
      <c r="Y78" s="14">
        <f t="shared" si="11"/>
        <v>5.4862500000000001</v>
      </c>
      <c r="Z78" s="12"/>
      <c r="AA78" s="15">
        <v>45420</v>
      </c>
      <c r="AB78" s="17">
        <v>46027</v>
      </c>
      <c r="AC78" s="17">
        <v>46236</v>
      </c>
      <c r="AD78" s="18">
        <f t="shared" si="12"/>
        <v>27.2</v>
      </c>
      <c r="AE78" s="17">
        <v>46400</v>
      </c>
      <c r="AF78" s="18">
        <f ca="1">(TODAY()-AB78)/30</f>
        <v>1.1666666666666667</v>
      </c>
      <c r="AG78" s="12">
        <f t="shared" si="13"/>
        <v>2024</v>
      </c>
      <c r="AH78" s="12">
        <f t="shared" si="14"/>
        <v>5</v>
      </c>
      <c r="AI78" s="12" t="s">
        <v>264</v>
      </c>
      <c r="AJ78" s="6" t="s">
        <v>192</v>
      </c>
      <c r="AK78" s="12"/>
      <c r="AL78" s="12"/>
      <c r="AM78" s="12" t="s">
        <v>261</v>
      </c>
    </row>
    <row r="79" spans="2:39" x14ac:dyDescent="0.35">
      <c r="B79" s="5" t="str">
        <f t="shared" si="9"/>
        <v>CB2022-Canada4</v>
      </c>
      <c r="C79" s="5" t="str">
        <f t="shared" si="10"/>
        <v>CB2022Canada44</v>
      </c>
      <c r="D79" s="13" t="s">
        <v>265</v>
      </c>
      <c r="E79" t="s">
        <v>93</v>
      </c>
      <c r="F79" s="12">
        <v>2014</v>
      </c>
      <c r="G79" t="s">
        <v>259</v>
      </c>
      <c r="H79" t="s">
        <v>259</v>
      </c>
      <c r="I79" s="6" t="s">
        <v>112</v>
      </c>
      <c r="J79" s="6" t="s">
        <v>141</v>
      </c>
      <c r="K79" s="6" t="s">
        <v>163</v>
      </c>
      <c r="L79" s="6">
        <v>4</v>
      </c>
      <c r="M79" s="6" t="s">
        <v>252</v>
      </c>
      <c r="N79" s="6" t="s">
        <v>253</v>
      </c>
      <c r="O79" s="6">
        <v>4</v>
      </c>
      <c r="P79" s="6">
        <v>12</v>
      </c>
      <c r="Q79" s="6">
        <v>3</v>
      </c>
      <c r="R79" s="6">
        <v>12</v>
      </c>
      <c r="S79" s="6">
        <v>36</v>
      </c>
      <c r="T79" s="6" t="s">
        <v>172</v>
      </c>
      <c r="U79" s="6">
        <v>5</v>
      </c>
      <c r="V79" s="6">
        <v>100</v>
      </c>
      <c r="W79" s="7">
        <v>0</v>
      </c>
      <c r="X79" s="7">
        <v>1.65</v>
      </c>
      <c r="Y79" s="14">
        <f t="shared" si="11"/>
        <v>2.97</v>
      </c>
      <c r="Z79" s="12"/>
      <c r="AA79" s="15">
        <v>44700</v>
      </c>
      <c r="AB79" s="17">
        <v>45912</v>
      </c>
      <c r="AC79" s="17">
        <v>44970</v>
      </c>
      <c r="AD79" s="18">
        <f t="shared" si="12"/>
        <v>9</v>
      </c>
      <c r="AE79" s="17">
        <v>45070</v>
      </c>
      <c r="AF79" s="18">
        <f ca="1">(TODAY()-AB79)/30</f>
        <v>5</v>
      </c>
      <c r="AG79" s="12">
        <f t="shared" si="13"/>
        <v>2022</v>
      </c>
      <c r="AH79" s="12">
        <f t="shared" si="14"/>
        <v>5</v>
      </c>
      <c r="AI79" s="12" t="s">
        <v>262</v>
      </c>
      <c r="AJ79" s="6" t="s">
        <v>193</v>
      </c>
      <c r="AK79" s="12"/>
      <c r="AL79" s="12"/>
      <c r="AM79" s="12" t="s">
        <v>261</v>
      </c>
    </row>
    <row r="80" spans="2:39" x14ac:dyDescent="0.35">
      <c r="B80" s="5" t="str">
        <f t="shared" si="9"/>
        <v>MY2022-La leona90</v>
      </c>
      <c r="C80" s="5" t="str">
        <f t="shared" si="10"/>
        <v>MY2022La leona903</v>
      </c>
      <c r="D80" s="13" t="s">
        <v>265</v>
      </c>
      <c r="E80" t="s">
        <v>93</v>
      </c>
      <c r="F80" s="12">
        <v>2014</v>
      </c>
      <c r="G80" t="s">
        <v>259</v>
      </c>
      <c r="H80" t="s">
        <v>259</v>
      </c>
      <c r="I80" s="6" t="s">
        <v>112</v>
      </c>
      <c r="J80" s="7" t="s">
        <v>156</v>
      </c>
      <c r="K80" s="7" t="s">
        <v>159</v>
      </c>
      <c r="L80" s="7">
        <v>90</v>
      </c>
      <c r="M80" s="6" t="s">
        <v>255</v>
      </c>
      <c r="N80" s="6" t="s">
        <v>256</v>
      </c>
      <c r="O80" s="7">
        <v>3</v>
      </c>
      <c r="P80" s="7">
        <v>12</v>
      </c>
      <c r="Q80" s="6">
        <v>3</v>
      </c>
      <c r="R80" s="7">
        <v>12</v>
      </c>
      <c r="S80" s="7">
        <v>36</v>
      </c>
      <c r="T80" s="7" t="s">
        <v>174</v>
      </c>
      <c r="U80" s="6">
        <v>5</v>
      </c>
      <c r="V80" s="7">
        <v>100</v>
      </c>
      <c r="W80" s="7">
        <v>0</v>
      </c>
      <c r="X80" s="7">
        <v>1.65</v>
      </c>
      <c r="Y80" s="14">
        <f t="shared" si="11"/>
        <v>2.97</v>
      </c>
      <c r="Z80" s="12"/>
      <c r="AA80" s="16">
        <v>44857</v>
      </c>
      <c r="AB80" s="17">
        <v>45703</v>
      </c>
      <c r="AC80" s="17">
        <v>45127</v>
      </c>
      <c r="AD80" s="18">
        <f t="shared" si="12"/>
        <v>9</v>
      </c>
      <c r="AE80" s="17">
        <v>45227</v>
      </c>
      <c r="AF80" s="18">
        <f ca="1">(TODAY()-AB80)/30</f>
        <v>11.966666666666667</v>
      </c>
      <c r="AG80" s="12">
        <f t="shared" si="13"/>
        <v>2022</v>
      </c>
      <c r="AH80" s="12">
        <f t="shared" si="14"/>
        <v>10</v>
      </c>
      <c r="AI80" s="12" t="s">
        <v>262</v>
      </c>
      <c r="AJ80" s="7" t="s">
        <v>190</v>
      </c>
      <c r="AK80" s="12"/>
      <c r="AL80" s="12"/>
      <c r="AM80" s="12" t="s">
        <v>261</v>
      </c>
    </row>
    <row r="81" spans="2:39" x14ac:dyDescent="0.35">
      <c r="B81" s="5" t="str">
        <f t="shared" si="9"/>
        <v>CA2025-Vilela8b, 12</v>
      </c>
      <c r="C81" s="5" t="str">
        <f t="shared" si="10"/>
        <v>CA2025Vilela8b, 121</v>
      </c>
      <c r="D81" s="13" t="s">
        <v>265</v>
      </c>
      <c r="E81" t="s">
        <v>93</v>
      </c>
      <c r="F81" s="12">
        <v>2015</v>
      </c>
      <c r="G81" t="s">
        <v>259</v>
      </c>
      <c r="H81" t="s">
        <v>101</v>
      </c>
      <c r="I81" s="6" t="s">
        <v>112</v>
      </c>
      <c r="J81" s="6" t="s">
        <v>144</v>
      </c>
      <c r="K81" s="7" t="s">
        <v>164</v>
      </c>
      <c r="L81" s="7" t="s">
        <v>269</v>
      </c>
      <c r="M81" s="20" t="s">
        <v>271</v>
      </c>
      <c r="N81" s="20" t="s">
        <v>270</v>
      </c>
      <c r="O81" s="7">
        <v>1</v>
      </c>
      <c r="P81" s="7">
        <v>12</v>
      </c>
      <c r="Q81" s="6">
        <v>3</v>
      </c>
      <c r="R81" s="7">
        <v>12</v>
      </c>
      <c r="S81" s="7">
        <v>35</v>
      </c>
      <c r="T81" s="7" t="s">
        <v>172</v>
      </c>
      <c r="U81" s="7">
        <v>6</v>
      </c>
      <c r="V81" s="7">
        <v>6</v>
      </c>
      <c r="W81" s="7">
        <v>100</v>
      </c>
      <c r="X81" s="7">
        <v>1.65</v>
      </c>
      <c r="Y81" s="14">
        <f t="shared" si="11"/>
        <v>3.6728999999999994</v>
      </c>
      <c r="Z81" s="12"/>
      <c r="AA81" s="16">
        <v>45939</v>
      </c>
      <c r="AB81" s="12"/>
      <c r="AC81" s="17">
        <v>46209</v>
      </c>
      <c r="AD81" s="18">
        <f t="shared" si="12"/>
        <v>9</v>
      </c>
      <c r="AE81" s="17">
        <v>46309</v>
      </c>
      <c r="AF81" s="18">
        <f t="shared" ref="AF81:AF87" ca="1" si="17">(TODAY()-AA81)/30</f>
        <v>4.0999999999999996</v>
      </c>
      <c r="AG81" s="12">
        <f t="shared" si="13"/>
        <v>2025</v>
      </c>
      <c r="AH81" s="12">
        <f t="shared" si="14"/>
        <v>10</v>
      </c>
      <c r="AI81" s="12" t="s">
        <v>262</v>
      </c>
      <c r="AJ81" s="6" t="s">
        <v>194</v>
      </c>
      <c r="AK81" s="12"/>
      <c r="AL81" s="12"/>
      <c r="AM81" s="12" t="s">
        <v>261</v>
      </c>
    </row>
    <row r="82" spans="2:39" x14ac:dyDescent="0.35">
      <c r="B82" s="5" t="str">
        <f t="shared" si="9"/>
        <v>CA2025-Chalo4a</v>
      </c>
      <c r="C82" s="5" t="str">
        <f t="shared" si="10"/>
        <v>CA2025Chalo4a1</v>
      </c>
      <c r="D82" s="13" t="s">
        <v>265</v>
      </c>
      <c r="E82" t="s">
        <v>78</v>
      </c>
      <c r="F82" s="12" t="s">
        <v>110</v>
      </c>
      <c r="G82" t="s">
        <v>259</v>
      </c>
      <c r="H82" t="s">
        <v>101</v>
      </c>
      <c r="I82" s="6" t="s">
        <v>112</v>
      </c>
      <c r="J82" s="6" t="s">
        <v>144</v>
      </c>
      <c r="K82" s="7" t="s">
        <v>165</v>
      </c>
      <c r="L82" s="7" t="s">
        <v>166</v>
      </c>
      <c r="M82" s="20" t="s">
        <v>201</v>
      </c>
      <c r="N82" s="20" t="s">
        <v>257</v>
      </c>
      <c r="O82" s="7">
        <v>1</v>
      </c>
      <c r="P82" s="7">
        <v>68</v>
      </c>
      <c r="Q82" s="6">
        <v>3</v>
      </c>
      <c r="R82" s="7">
        <v>68</v>
      </c>
      <c r="S82" s="7">
        <v>340</v>
      </c>
      <c r="T82" s="7" t="s">
        <v>172</v>
      </c>
      <c r="U82" s="7">
        <v>2</v>
      </c>
      <c r="V82" s="7">
        <v>12.5</v>
      </c>
      <c r="W82" s="7">
        <v>2.5</v>
      </c>
      <c r="X82" s="7">
        <v>1.65</v>
      </c>
      <c r="Y82" s="14">
        <f t="shared" si="11"/>
        <v>1.6830000000000001</v>
      </c>
      <c r="Z82" s="12"/>
      <c r="AA82" s="16">
        <v>46010</v>
      </c>
      <c r="AB82" s="12"/>
      <c r="AC82" s="17">
        <v>46280</v>
      </c>
      <c r="AD82" s="18">
        <f t="shared" si="12"/>
        <v>9</v>
      </c>
      <c r="AE82" s="17">
        <v>46380</v>
      </c>
      <c r="AF82" s="18">
        <f t="shared" ca="1" si="17"/>
        <v>1.7333333333333334</v>
      </c>
      <c r="AG82" s="12">
        <f t="shared" si="13"/>
        <v>2025</v>
      </c>
      <c r="AH82" s="12">
        <f t="shared" si="14"/>
        <v>12</v>
      </c>
      <c r="AI82" s="12" t="s">
        <v>262</v>
      </c>
      <c r="AJ82" s="6" t="s">
        <v>177</v>
      </c>
      <c r="AK82" s="12"/>
      <c r="AL82" s="12"/>
      <c r="AM82" s="12" t="s">
        <v>261</v>
      </c>
    </row>
    <row r="83" spans="2:39" x14ac:dyDescent="0.35">
      <c r="B83" s="5" t="str">
        <f t="shared" si="9"/>
        <v>CA2025-San fernando5</v>
      </c>
      <c r="C83" s="5" t="str">
        <f t="shared" si="10"/>
        <v>CA2025San fernando51</v>
      </c>
      <c r="D83" s="13" t="s">
        <v>265</v>
      </c>
      <c r="E83" t="s">
        <v>91</v>
      </c>
      <c r="F83" s="12" t="s">
        <v>111</v>
      </c>
      <c r="G83" t="s">
        <v>259</v>
      </c>
      <c r="H83" t="s">
        <v>101</v>
      </c>
      <c r="I83" s="6" t="s">
        <v>91</v>
      </c>
      <c r="J83" s="6" t="s">
        <v>144</v>
      </c>
      <c r="K83" s="7" t="s">
        <v>167</v>
      </c>
      <c r="L83" s="7">
        <v>5</v>
      </c>
      <c r="M83" s="20" t="s">
        <v>252</v>
      </c>
      <c r="N83" s="20"/>
      <c r="O83" s="7">
        <v>1</v>
      </c>
      <c r="P83" s="7">
        <v>20</v>
      </c>
      <c r="Q83" s="6">
        <v>3</v>
      </c>
      <c r="R83" s="7">
        <v>20</v>
      </c>
      <c r="S83" s="7">
        <v>20</v>
      </c>
      <c r="T83" s="7" t="s">
        <v>173</v>
      </c>
      <c r="U83" s="7">
        <v>4</v>
      </c>
      <c r="V83" s="7">
        <v>65</v>
      </c>
      <c r="W83" s="7">
        <v>0</v>
      </c>
      <c r="X83" s="7">
        <v>1.65</v>
      </c>
      <c r="Y83" s="14">
        <f t="shared" si="11"/>
        <v>0.85799999999999998</v>
      </c>
      <c r="Z83" s="12"/>
      <c r="AA83" s="16">
        <v>45918</v>
      </c>
      <c r="AB83" s="12"/>
      <c r="AC83" s="17">
        <v>46188</v>
      </c>
      <c r="AD83" s="18">
        <f t="shared" si="12"/>
        <v>9</v>
      </c>
      <c r="AE83" s="17">
        <v>46288</v>
      </c>
      <c r="AF83" s="18">
        <f t="shared" ca="1" si="17"/>
        <v>4.8</v>
      </c>
      <c r="AG83" s="12">
        <f t="shared" si="13"/>
        <v>2025</v>
      </c>
      <c r="AH83" s="12">
        <f t="shared" si="14"/>
        <v>9</v>
      </c>
      <c r="AI83" s="12" t="s">
        <v>262</v>
      </c>
      <c r="AJ83" s="6" t="s">
        <v>178</v>
      </c>
      <c r="AK83" s="12"/>
      <c r="AL83" s="12"/>
      <c r="AM83" s="12" t="s">
        <v>261</v>
      </c>
    </row>
    <row r="84" spans="2:39" x14ac:dyDescent="0.35">
      <c r="B84" s="5" t="str">
        <f t="shared" si="9"/>
        <v>MN2026-Gertrudis17A</v>
      </c>
      <c r="C84" s="5" t="str">
        <f t="shared" si="10"/>
        <v>MN2026Gertrudis17A1</v>
      </c>
      <c r="D84" s="13" t="s">
        <v>265</v>
      </c>
      <c r="E84" t="s">
        <v>78</v>
      </c>
      <c r="F84" s="12" t="s">
        <v>110</v>
      </c>
      <c r="G84" t="s">
        <v>259</v>
      </c>
      <c r="H84" t="s">
        <v>259</v>
      </c>
      <c r="I84" s="6" t="s">
        <v>91</v>
      </c>
      <c r="J84" s="6" t="s">
        <v>137</v>
      </c>
      <c r="K84" s="7" t="s">
        <v>168</v>
      </c>
      <c r="L84" s="7" t="s">
        <v>169</v>
      </c>
      <c r="M84" s="6" t="s">
        <v>242</v>
      </c>
      <c r="N84" s="6" t="s">
        <v>219</v>
      </c>
      <c r="O84" s="7">
        <v>1</v>
      </c>
      <c r="P84" s="7">
        <v>68</v>
      </c>
      <c r="Q84" s="6">
        <v>3</v>
      </c>
      <c r="R84" s="7">
        <v>68</v>
      </c>
      <c r="S84" s="7">
        <v>68</v>
      </c>
      <c r="T84" s="7" t="s">
        <v>173</v>
      </c>
      <c r="U84" s="7">
        <v>4</v>
      </c>
      <c r="V84" s="7">
        <v>45</v>
      </c>
      <c r="W84" s="7">
        <v>2.5</v>
      </c>
      <c r="X84" s="7">
        <v>1.65</v>
      </c>
      <c r="Y84" s="14">
        <f t="shared" si="11"/>
        <v>2.1318000000000001</v>
      </c>
      <c r="Z84" s="12"/>
      <c r="AA84" s="16">
        <v>46052</v>
      </c>
      <c r="AB84" s="12"/>
      <c r="AC84" s="17">
        <v>46322</v>
      </c>
      <c r="AD84" s="18">
        <f t="shared" si="12"/>
        <v>9</v>
      </c>
      <c r="AE84" s="17">
        <v>46422</v>
      </c>
      <c r="AF84" s="18">
        <f t="shared" ca="1" si="17"/>
        <v>0.33333333333333331</v>
      </c>
      <c r="AG84" s="12">
        <f t="shared" si="13"/>
        <v>2026</v>
      </c>
      <c r="AH84" s="12">
        <f t="shared" si="14"/>
        <v>1</v>
      </c>
      <c r="AI84" s="12" t="s">
        <v>264</v>
      </c>
      <c r="AJ84" s="6" t="s">
        <v>178</v>
      </c>
      <c r="AK84" s="12"/>
      <c r="AL84" s="12"/>
      <c r="AM84" s="12" t="s">
        <v>261</v>
      </c>
    </row>
    <row r="85" spans="2:39" x14ac:dyDescent="0.35">
      <c r="B85" s="5" t="str">
        <f t="shared" si="9"/>
        <v>MN2026-Gertrudis17A</v>
      </c>
      <c r="C85" s="5" t="str">
        <f t="shared" si="10"/>
        <v>MN2026Gertrudis17A1</v>
      </c>
      <c r="D85" s="13" t="s">
        <v>265</v>
      </c>
      <c r="E85" t="s">
        <v>82</v>
      </c>
      <c r="F85" s="12">
        <v>2024</v>
      </c>
      <c r="G85" t="s">
        <v>259</v>
      </c>
      <c r="H85" t="s">
        <v>259</v>
      </c>
      <c r="I85" s="6" t="s">
        <v>91</v>
      </c>
      <c r="J85" s="6" t="s">
        <v>137</v>
      </c>
      <c r="K85" s="7" t="s">
        <v>168</v>
      </c>
      <c r="L85" s="7" t="s">
        <v>169</v>
      </c>
      <c r="M85" s="6" t="s">
        <v>242</v>
      </c>
      <c r="N85" s="6" t="s">
        <v>219</v>
      </c>
      <c r="O85" s="7">
        <v>1</v>
      </c>
      <c r="P85" s="7">
        <v>143</v>
      </c>
      <c r="Q85" s="6">
        <v>3</v>
      </c>
      <c r="R85" s="7">
        <v>143</v>
      </c>
      <c r="S85" s="7">
        <v>143</v>
      </c>
      <c r="T85" s="7" t="s">
        <v>173</v>
      </c>
      <c r="U85" s="7">
        <v>3</v>
      </c>
      <c r="V85" s="7">
        <v>10</v>
      </c>
      <c r="W85" s="7">
        <v>2.5</v>
      </c>
      <c r="X85" s="7">
        <v>1.65</v>
      </c>
      <c r="Y85" s="14">
        <f t="shared" si="11"/>
        <v>0.8848125</v>
      </c>
      <c r="Z85" s="12"/>
      <c r="AA85" s="16">
        <v>46052</v>
      </c>
      <c r="AB85" s="12"/>
      <c r="AC85" s="17">
        <v>46322</v>
      </c>
      <c r="AD85" s="18">
        <f t="shared" si="12"/>
        <v>9</v>
      </c>
      <c r="AE85" s="17">
        <v>46422</v>
      </c>
      <c r="AF85" s="18">
        <f t="shared" ca="1" si="17"/>
        <v>0.33333333333333331</v>
      </c>
      <c r="AG85" s="12">
        <f t="shared" si="13"/>
        <v>2026</v>
      </c>
      <c r="AH85" s="12">
        <f t="shared" si="14"/>
        <v>1</v>
      </c>
      <c r="AI85" s="12" t="s">
        <v>264</v>
      </c>
      <c r="AJ85" s="6" t="s">
        <v>178</v>
      </c>
      <c r="AK85" s="12"/>
      <c r="AL85" s="12"/>
      <c r="AM85" s="12" t="s">
        <v>261</v>
      </c>
    </row>
    <row r="86" spans="2:39" x14ac:dyDescent="0.35">
      <c r="B86" s="5" t="str">
        <f t="shared" si="9"/>
        <v>CA2026-Tifton2B</v>
      </c>
      <c r="C86" s="5" t="str">
        <f t="shared" si="10"/>
        <v>CA2026Tifton2B1</v>
      </c>
      <c r="D86" s="13" t="s">
        <v>265</v>
      </c>
      <c r="E86" t="s">
        <v>78</v>
      </c>
      <c r="F86" s="12">
        <v>2021</v>
      </c>
      <c r="G86" t="s">
        <v>259</v>
      </c>
      <c r="H86" t="s">
        <v>101</v>
      </c>
      <c r="I86" s="6" t="s">
        <v>91</v>
      </c>
      <c r="J86" s="6" t="s">
        <v>144</v>
      </c>
      <c r="K86" s="7" t="s">
        <v>170</v>
      </c>
      <c r="L86" s="7" t="s">
        <v>171</v>
      </c>
      <c r="M86" s="6" t="s">
        <v>258</v>
      </c>
      <c r="N86" s="6" t="s">
        <v>254</v>
      </c>
      <c r="O86" s="7">
        <v>1</v>
      </c>
      <c r="P86" s="7">
        <v>39</v>
      </c>
      <c r="Q86" s="6">
        <v>3</v>
      </c>
      <c r="R86" s="7">
        <v>39</v>
      </c>
      <c r="S86" s="7">
        <v>39</v>
      </c>
      <c r="T86" s="7" t="s">
        <v>173</v>
      </c>
      <c r="U86" s="7">
        <v>4</v>
      </c>
      <c r="V86" s="7">
        <v>30</v>
      </c>
      <c r="W86" s="7">
        <v>2.5</v>
      </c>
      <c r="X86" s="7">
        <v>1.65</v>
      </c>
      <c r="Y86" s="14">
        <f t="shared" si="11"/>
        <v>0.83655000000000002</v>
      </c>
      <c r="Z86" s="12"/>
      <c r="AA86" s="16">
        <v>46045</v>
      </c>
      <c r="AB86" s="12"/>
      <c r="AC86" s="17">
        <v>46315</v>
      </c>
      <c r="AD86" s="18">
        <f t="shared" si="12"/>
        <v>9</v>
      </c>
      <c r="AE86" s="17">
        <v>46415</v>
      </c>
      <c r="AF86" s="18">
        <f t="shared" ca="1" si="17"/>
        <v>0.56666666666666665</v>
      </c>
      <c r="AG86" s="12">
        <f t="shared" si="13"/>
        <v>2026</v>
      </c>
      <c r="AH86" s="12">
        <f t="shared" si="14"/>
        <v>1</v>
      </c>
      <c r="AI86" s="12" t="s">
        <v>264</v>
      </c>
      <c r="AJ86" s="6" t="s">
        <v>178</v>
      </c>
      <c r="AK86" s="12"/>
      <c r="AL86" s="12"/>
      <c r="AM86" s="12" t="s">
        <v>261</v>
      </c>
    </row>
    <row r="87" spans="2:39" x14ac:dyDescent="0.35">
      <c r="B87" s="5" t="str">
        <f t="shared" si="9"/>
        <v>CA2026-Tifton2B</v>
      </c>
      <c r="C87" s="5" t="str">
        <f t="shared" si="10"/>
        <v>CA2026Tifton2B1</v>
      </c>
      <c r="D87" s="13" t="s">
        <v>265</v>
      </c>
      <c r="E87" t="s">
        <v>82</v>
      </c>
      <c r="F87" s="12">
        <v>2024</v>
      </c>
      <c r="G87" t="s">
        <v>259</v>
      </c>
      <c r="H87" t="s">
        <v>101</v>
      </c>
      <c r="I87" s="6" t="s">
        <v>91</v>
      </c>
      <c r="J87" s="6" t="s">
        <v>144</v>
      </c>
      <c r="K87" s="7" t="s">
        <v>170</v>
      </c>
      <c r="L87" s="7" t="s">
        <v>171</v>
      </c>
      <c r="M87" s="6" t="s">
        <v>258</v>
      </c>
      <c r="N87" s="6" t="s">
        <v>254</v>
      </c>
      <c r="O87" s="7">
        <v>1</v>
      </c>
      <c r="P87" s="7">
        <v>140</v>
      </c>
      <c r="Q87" s="6">
        <v>3</v>
      </c>
      <c r="R87" s="7">
        <v>140</v>
      </c>
      <c r="S87" s="7">
        <v>140</v>
      </c>
      <c r="T87" s="7" t="s">
        <v>173</v>
      </c>
      <c r="U87" s="7">
        <v>3</v>
      </c>
      <c r="V87" s="7">
        <v>10</v>
      </c>
      <c r="W87" s="7">
        <v>2.5</v>
      </c>
      <c r="X87" s="7">
        <v>1.65</v>
      </c>
      <c r="Y87" s="14">
        <f t="shared" si="11"/>
        <v>0.86624999999999996</v>
      </c>
      <c r="Z87" s="12"/>
      <c r="AA87" s="16">
        <v>46045</v>
      </c>
      <c r="AB87" s="12"/>
      <c r="AC87" s="17">
        <v>46315</v>
      </c>
      <c r="AD87" s="18">
        <f t="shared" si="12"/>
        <v>9</v>
      </c>
      <c r="AE87" s="17">
        <v>46415</v>
      </c>
      <c r="AF87" s="18">
        <f t="shared" ca="1" si="17"/>
        <v>0.56666666666666665</v>
      </c>
      <c r="AG87" s="12">
        <f t="shared" si="13"/>
        <v>2026</v>
      </c>
      <c r="AH87" s="12">
        <f t="shared" si="14"/>
        <v>1</v>
      </c>
      <c r="AI87" s="12" t="s">
        <v>264</v>
      </c>
      <c r="AJ87" s="6" t="s">
        <v>178</v>
      </c>
      <c r="AK87" s="12"/>
      <c r="AL87" s="12"/>
      <c r="AM87" s="12" t="s">
        <v>261</v>
      </c>
    </row>
  </sheetData>
  <autoFilter ref="A2:AM87" xr:uid="{00000000-0009-0000-0000-000000000000}"/>
  <phoneticPr fontId="3" type="noConversion"/>
  <pageMargins left="0.7" right="0.7" top="0.75" bottom="0.75" header="0.3" footer="0.3"/>
  <pageSetup orientation="portrait" r:id="rId1"/>
  <ignoredErrors>
    <ignoredError sqref="AF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A. Salazar Villareal</dc:creator>
  <cp:lastModifiedBy>Luis Orlando López Zúñiga</cp:lastModifiedBy>
  <dcterms:created xsi:type="dcterms:W3CDTF">2020-07-09T01:24:07Z</dcterms:created>
  <dcterms:modified xsi:type="dcterms:W3CDTF">2026-02-09T12:58:57Z</dcterms:modified>
</cp:coreProperties>
</file>